
<file path=[Content_Types].xml><?xml version="1.0" encoding="utf-8"?>
<Types xmlns="http://schemas.openxmlformats.org/package/2006/content-types">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xWindow="240" yWindow="975" windowWidth="15600" windowHeight="9480" tabRatio="773" firstSheet="1" activeTab="7"/>
  </bookViews>
  <sheets>
    <sheet name="237 ES.Calcul" sheetId="1" r:id="rId1"/>
    <sheet name="Besoin électrique" sheetId="3" r:id="rId2"/>
    <sheet name="Economie d'énergie" sheetId="4" r:id="rId3"/>
    <sheet name="Données du site" sheetId="2" r:id="rId4"/>
    <sheet name="Données d'irradiation" sheetId="5" r:id="rId5"/>
    <sheet name="Système PV" sheetId="6" r:id="rId6"/>
    <sheet name="Câblage et protection" sheetId="14" r:id="rId7"/>
    <sheet name="Rapport" sheetId="12" r:id="rId8"/>
    <sheet name="Estimation financière" sheetId="13" r:id="rId9"/>
    <sheet name="Aide" sheetId="10" r:id="rId10"/>
    <sheet name="Feuil4" sheetId="18" r:id="rId11"/>
    <sheet name="Feuil1" sheetId="15" r:id="rId12"/>
    <sheet name="Feuil3" sheetId="17" r:id="rId13"/>
    <sheet name="Feuil2" sheetId="16" r:id="rId14"/>
  </sheets>
  <definedNames>
    <definedName name="_xlnm._FilterDatabase" localSheetId="3" hidden="1">'Données du site'!$C$19</definedName>
    <definedName name="_xlnm.Print_Area" localSheetId="8">'Estimation financière'!$A$1:$H$22</definedName>
    <definedName name="_xlnm.Print_Area" localSheetId="7">Rapport!$C$1:$M$47,Rapport!$C$49:$M$104</definedName>
  </definedNames>
  <calcPr calcId="124519"/>
</workbook>
</file>

<file path=xl/calcChain.xml><?xml version="1.0" encoding="utf-8"?>
<calcChain xmlns="http://schemas.openxmlformats.org/spreadsheetml/2006/main">
  <c r="E5" i="3"/>
  <c r="F3" i="15" l="1"/>
  <c r="F4"/>
  <c r="F5"/>
  <c r="F6"/>
  <c r="F7"/>
  <c r="F8"/>
  <c r="F9"/>
  <c r="F10"/>
  <c r="F11"/>
  <c r="F12"/>
  <c r="F13"/>
  <c r="F2"/>
  <c r="E56" i="12" l="1"/>
  <c r="E57"/>
  <c r="E58"/>
  <c r="E59"/>
  <c r="E60"/>
  <c r="E61"/>
  <c r="E62"/>
  <c r="E63"/>
  <c r="E64"/>
  <c r="E65"/>
  <c r="E66"/>
  <c r="E67"/>
  <c r="E68"/>
  <c r="E69"/>
  <c r="E55"/>
  <c r="H90"/>
  <c r="H91"/>
  <c r="H92"/>
  <c r="H93"/>
  <c r="H94"/>
  <c r="H95"/>
  <c r="H96"/>
  <c r="H97"/>
  <c r="H98"/>
  <c r="H99"/>
  <c r="H100"/>
  <c r="H101"/>
  <c r="H102"/>
  <c r="H103"/>
  <c r="H89"/>
  <c r="G90"/>
  <c r="G91"/>
  <c r="G92"/>
  <c r="G93"/>
  <c r="G94"/>
  <c r="G95"/>
  <c r="G96"/>
  <c r="G97"/>
  <c r="G98"/>
  <c r="G99"/>
  <c r="G100"/>
  <c r="G101"/>
  <c r="G102"/>
  <c r="G103"/>
  <c r="G89"/>
  <c r="F90"/>
  <c r="F91"/>
  <c r="F92"/>
  <c r="F93"/>
  <c r="F94"/>
  <c r="F95"/>
  <c r="F96"/>
  <c r="F97"/>
  <c r="F98"/>
  <c r="F99"/>
  <c r="F100"/>
  <c r="F101"/>
  <c r="F102"/>
  <c r="F103"/>
  <c r="F89"/>
  <c r="E90"/>
  <c r="E91"/>
  <c r="E92"/>
  <c r="E93"/>
  <c r="E94"/>
  <c r="E95"/>
  <c r="E96"/>
  <c r="E97"/>
  <c r="E98"/>
  <c r="E99"/>
  <c r="E100"/>
  <c r="E101"/>
  <c r="E102"/>
  <c r="E103"/>
  <c r="E89"/>
  <c r="C90"/>
  <c r="C91"/>
  <c r="C92"/>
  <c r="C93"/>
  <c r="C94"/>
  <c r="C95"/>
  <c r="C96"/>
  <c r="C97"/>
  <c r="C98"/>
  <c r="C99"/>
  <c r="C100"/>
  <c r="C101"/>
  <c r="C102"/>
  <c r="C103"/>
  <c r="C89"/>
  <c r="H73"/>
  <c r="H74"/>
  <c r="H75"/>
  <c r="H76"/>
  <c r="H77"/>
  <c r="H78"/>
  <c r="H79"/>
  <c r="H80"/>
  <c r="H81"/>
  <c r="H82"/>
  <c r="H83"/>
  <c r="H84"/>
  <c r="H85"/>
  <c r="H86"/>
  <c r="H72"/>
  <c r="G73"/>
  <c r="G74"/>
  <c r="G75"/>
  <c r="G76"/>
  <c r="G77"/>
  <c r="G78"/>
  <c r="G79"/>
  <c r="G80"/>
  <c r="G81"/>
  <c r="G82"/>
  <c r="G83"/>
  <c r="G84"/>
  <c r="G85"/>
  <c r="G86"/>
  <c r="G72"/>
  <c r="F73"/>
  <c r="F74"/>
  <c r="F75"/>
  <c r="F76"/>
  <c r="F77"/>
  <c r="F78"/>
  <c r="F79"/>
  <c r="F80"/>
  <c r="F81"/>
  <c r="F82"/>
  <c r="F83"/>
  <c r="F84"/>
  <c r="F85"/>
  <c r="F86"/>
  <c r="F72"/>
  <c r="E73"/>
  <c r="E74"/>
  <c r="E75"/>
  <c r="E76"/>
  <c r="E77"/>
  <c r="E78"/>
  <c r="E79"/>
  <c r="E80"/>
  <c r="E81"/>
  <c r="E82"/>
  <c r="E83"/>
  <c r="E84"/>
  <c r="E85"/>
  <c r="E86"/>
  <c r="E72"/>
  <c r="C73"/>
  <c r="C74"/>
  <c r="C75"/>
  <c r="C76"/>
  <c r="C77"/>
  <c r="C78"/>
  <c r="C79"/>
  <c r="C80"/>
  <c r="C81"/>
  <c r="C82"/>
  <c r="C83"/>
  <c r="C84"/>
  <c r="C85"/>
  <c r="C86"/>
  <c r="C72"/>
  <c r="H56"/>
  <c r="H57"/>
  <c r="H58"/>
  <c r="H59"/>
  <c r="H60"/>
  <c r="H61"/>
  <c r="H62"/>
  <c r="H63"/>
  <c r="H64"/>
  <c r="H65"/>
  <c r="H66"/>
  <c r="H67"/>
  <c r="H68"/>
  <c r="H69"/>
  <c r="H55"/>
  <c r="G56"/>
  <c r="G57"/>
  <c r="G58"/>
  <c r="G59"/>
  <c r="G60"/>
  <c r="G61"/>
  <c r="G62"/>
  <c r="G63"/>
  <c r="G64"/>
  <c r="G65"/>
  <c r="G66"/>
  <c r="G67"/>
  <c r="G68"/>
  <c r="G69"/>
  <c r="G55"/>
  <c r="F56"/>
  <c r="F57"/>
  <c r="F58"/>
  <c r="F59"/>
  <c r="F60"/>
  <c r="F61"/>
  <c r="F62"/>
  <c r="F63"/>
  <c r="F64"/>
  <c r="F65"/>
  <c r="F66"/>
  <c r="F67"/>
  <c r="F68"/>
  <c r="F69"/>
  <c r="F55"/>
  <c r="C56"/>
  <c r="C57"/>
  <c r="C58"/>
  <c r="C59"/>
  <c r="C60"/>
  <c r="C61"/>
  <c r="C62"/>
  <c r="C63"/>
  <c r="C64"/>
  <c r="C65"/>
  <c r="C66"/>
  <c r="C67"/>
  <c r="C68"/>
  <c r="C69"/>
  <c r="C55"/>
  <c r="J49"/>
  <c r="F17" i="14" l="1"/>
  <c r="F16"/>
  <c r="D16"/>
  <c r="D24"/>
  <c r="D15"/>
  <c r="G24" l="1"/>
  <c r="A21" l="1"/>
  <c r="A13"/>
  <c r="G18"/>
  <c r="G15"/>
  <c r="A26" l="1"/>
  <c r="F26" s="1"/>
  <c r="G25"/>
  <c r="G27" s="1"/>
  <c r="A25"/>
  <c r="L26"/>
  <c r="D35"/>
  <c r="D36" s="1"/>
  <c r="F36" s="1"/>
  <c r="E37" s="1"/>
  <c r="H32"/>
  <c r="U31"/>
  <c r="U30"/>
  <c r="U28"/>
  <c r="U26"/>
  <c r="U25"/>
  <c r="U24"/>
  <c r="U22"/>
  <c r="U27" s="1"/>
  <c r="U21"/>
  <c r="U16"/>
  <c r="K21"/>
  <c r="D21"/>
  <c r="K27" s="1"/>
  <c r="D22" s="1"/>
  <c r="D13"/>
  <c r="K18" s="1"/>
  <c r="D14" s="1"/>
  <c r="D18" s="1"/>
  <c r="U15"/>
  <c r="U13"/>
  <c r="U11"/>
  <c r="U10"/>
  <c r="U8"/>
  <c r="U9"/>
  <c r="U7"/>
  <c r="K13"/>
  <c r="K10"/>
  <c r="J10"/>
  <c r="K9"/>
  <c r="J9"/>
  <c r="K8"/>
  <c r="J8"/>
  <c r="K7"/>
  <c r="J7"/>
  <c r="U12"/>
  <c r="I40" l="1"/>
  <c r="I43"/>
  <c r="F25"/>
  <c r="D25"/>
  <c r="D27"/>
  <c r="I42" s="1"/>
  <c r="E25"/>
  <c r="E26"/>
  <c r="H8" i="12"/>
  <c r="F38" i="3" l="1"/>
  <c r="F39"/>
  <c r="F40"/>
  <c r="F41"/>
  <c r="F42"/>
  <c r="F43"/>
  <c r="F44"/>
  <c r="F45"/>
  <c r="F46"/>
  <c r="F47"/>
  <c r="F48"/>
  <c r="F49"/>
  <c r="F50"/>
  <c r="F51"/>
  <c r="F37"/>
  <c r="E19" i="13" l="1"/>
  <c r="E18"/>
  <c r="F19"/>
  <c r="H19" s="1"/>
  <c r="F18"/>
  <c r="H18" s="1"/>
  <c r="F2"/>
  <c r="H2" s="1"/>
  <c r="F3"/>
  <c r="H3" s="1"/>
  <c r="F4"/>
  <c r="H4" s="1"/>
  <c r="F5"/>
  <c r="H5" s="1"/>
  <c r="F6"/>
  <c r="H6" s="1"/>
  <c r="F7"/>
  <c r="H7" s="1"/>
  <c r="F8"/>
  <c r="H8" s="1"/>
  <c r="F9"/>
  <c r="H9" s="1"/>
  <c r="F10"/>
  <c r="H10" s="1"/>
  <c r="F11"/>
  <c r="H11" s="1"/>
  <c r="F12"/>
  <c r="H12" s="1"/>
  <c r="F13"/>
  <c r="H13" s="1"/>
  <c r="F14"/>
  <c r="H14" s="1"/>
  <c r="F15"/>
  <c r="H15" s="1"/>
  <c r="F16"/>
  <c r="H16" s="1"/>
  <c r="F17"/>
  <c r="H17" s="1"/>
  <c r="F20"/>
  <c r="H20" s="1"/>
  <c r="E3"/>
  <c r="E4"/>
  <c r="E5"/>
  <c r="E6"/>
  <c r="E7"/>
  <c r="E8"/>
  <c r="E9"/>
  <c r="E10"/>
  <c r="E11"/>
  <c r="E12"/>
  <c r="E13"/>
  <c r="E14"/>
  <c r="E15"/>
  <c r="E16"/>
  <c r="E17"/>
  <c r="E20"/>
  <c r="E2"/>
  <c r="H22" l="1"/>
  <c r="H24" s="1"/>
  <c r="E53" i="3"/>
  <c r="G38"/>
  <c r="J90" i="12" s="1"/>
  <c r="G39" i="3"/>
  <c r="J91" i="12" s="1"/>
  <c r="G40" i="3"/>
  <c r="J92" i="12" s="1"/>
  <c r="G41" i="3"/>
  <c r="J93" i="12" s="1"/>
  <c r="G42" i="3"/>
  <c r="J94" i="12" s="1"/>
  <c r="G43" i="3"/>
  <c r="J95" i="12" s="1"/>
  <c r="G44" i="3"/>
  <c r="J96" i="12" s="1"/>
  <c r="G45" i="3"/>
  <c r="J97" i="12" s="1"/>
  <c r="G46" i="3"/>
  <c r="J98" i="12" s="1"/>
  <c r="G47" i="3"/>
  <c r="J99" i="12" s="1"/>
  <c r="G48" i="3"/>
  <c r="J100" i="12" s="1"/>
  <c r="G49" i="3"/>
  <c r="J101" i="12" s="1"/>
  <c r="G50" i="3"/>
  <c r="J102" i="12" s="1"/>
  <c r="G51" i="3"/>
  <c r="J103" i="12" s="1"/>
  <c r="G37" i="3"/>
  <c r="J89" i="12" s="1"/>
  <c r="G33" i="3"/>
  <c r="J85" i="12" s="1"/>
  <c r="G34" i="3"/>
  <c r="J86" i="12" s="1"/>
  <c r="G21" i="3"/>
  <c r="J73" i="12" s="1"/>
  <c r="G22" i="3"/>
  <c r="J74" i="12" s="1"/>
  <c r="G23" i="3"/>
  <c r="J75" i="12" s="1"/>
  <c r="G24" i="3"/>
  <c r="J76" i="12" s="1"/>
  <c r="G25" i="3"/>
  <c r="J77" i="12" s="1"/>
  <c r="G26" i="3"/>
  <c r="J78" i="12" s="1"/>
  <c r="G27" i="3"/>
  <c r="J79" i="12" s="1"/>
  <c r="G28" i="3"/>
  <c r="J80" i="12" s="1"/>
  <c r="G29" i="3"/>
  <c r="J81" i="12" s="1"/>
  <c r="G30" i="3"/>
  <c r="J82" i="12" s="1"/>
  <c r="G31" i="3"/>
  <c r="J83" i="12" s="1"/>
  <c r="G32" i="3"/>
  <c r="J84" i="12" s="1"/>
  <c r="G20" i="3"/>
  <c r="J72" i="12" s="1"/>
  <c r="G4" i="3"/>
  <c r="J56" i="12" s="1"/>
  <c r="G5" i="3"/>
  <c r="J57" i="12" s="1"/>
  <c r="G6" i="3"/>
  <c r="J58" i="12" s="1"/>
  <c r="G7" i="3"/>
  <c r="J59" i="12" s="1"/>
  <c r="G8" i="3"/>
  <c r="J60" i="12" s="1"/>
  <c r="G9" i="3"/>
  <c r="J61" i="12" s="1"/>
  <c r="G10" i="3"/>
  <c r="J62" i="12" s="1"/>
  <c r="G11" i="3"/>
  <c r="J63" i="12" s="1"/>
  <c r="G12" i="3"/>
  <c r="J64" i="12" s="1"/>
  <c r="G13" i="3"/>
  <c r="J65" i="12" s="1"/>
  <c r="G14" i="3"/>
  <c r="J66" i="12" s="1"/>
  <c r="G15" i="3"/>
  <c r="J67" i="12" s="1"/>
  <c r="G16" i="3"/>
  <c r="J68" i="12" s="1"/>
  <c r="G17" i="3"/>
  <c r="J69" i="12" s="1"/>
  <c r="G3" i="3"/>
  <c r="J55" i="12" s="1"/>
  <c r="H3" i="3" l="1"/>
  <c r="L55" i="12" s="1"/>
  <c r="I3" i="3"/>
  <c r="I14"/>
  <c r="H14"/>
  <c r="L66" i="12" s="1"/>
  <c r="I12" i="3"/>
  <c r="H12"/>
  <c r="L64" i="12" s="1"/>
  <c r="I8" i="3"/>
  <c r="H8"/>
  <c r="L60" i="12" s="1"/>
  <c r="I6" i="3"/>
  <c r="H6"/>
  <c r="L58" i="12" s="1"/>
  <c r="I32" i="3"/>
  <c r="H32"/>
  <c r="L84" i="12" s="1"/>
  <c r="H17" i="3"/>
  <c r="L69" i="12" s="1"/>
  <c r="I17" i="3"/>
  <c r="I15"/>
  <c r="H15"/>
  <c r="L67" i="12" s="1"/>
  <c r="I13" i="3"/>
  <c r="H13"/>
  <c r="L65" i="12" s="1"/>
  <c r="H11" i="3"/>
  <c r="L63" i="12" s="1"/>
  <c r="I11" i="3"/>
  <c r="I9"/>
  <c r="H9"/>
  <c r="L61" i="12" s="1"/>
  <c r="I7" i="3"/>
  <c r="H7"/>
  <c r="L59" i="12" s="1"/>
  <c r="H5" i="3"/>
  <c r="L57" i="12" s="1"/>
  <c r="I5" i="3"/>
  <c r="I20"/>
  <c r="H20"/>
  <c r="L72" i="12" s="1"/>
  <c r="I31" i="3"/>
  <c r="H31"/>
  <c r="L83" i="12" s="1"/>
  <c r="I29" i="3"/>
  <c r="H29"/>
  <c r="L81" i="12" s="1"/>
  <c r="I27" i="3"/>
  <c r="H27"/>
  <c r="L79" i="12" s="1"/>
  <c r="I25" i="3"/>
  <c r="H25"/>
  <c r="L77" i="12" s="1"/>
  <c r="I23" i="3"/>
  <c r="H23"/>
  <c r="L75" i="12" s="1"/>
  <c r="I21" i="3"/>
  <c r="H21"/>
  <c r="L73" i="12" s="1"/>
  <c r="H33" i="3"/>
  <c r="L85" i="12" s="1"/>
  <c r="I33" i="3"/>
  <c r="I51"/>
  <c r="H51"/>
  <c r="L103" i="12" s="1"/>
  <c r="I49" i="3"/>
  <c r="H49"/>
  <c r="L101" i="12" s="1"/>
  <c r="I47" i="3"/>
  <c r="H47"/>
  <c r="L99" i="12" s="1"/>
  <c r="I45" i="3"/>
  <c r="H45"/>
  <c r="L97" i="12" s="1"/>
  <c r="H41" i="3"/>
  <c r="L93" i="12" s="1"/>
  <c r="I41" i="3"/>
  <c r="H39"/>
  <c r="L91" i="12" s="1"/>
  <c r="I39" i="3"/>
  <c r="I16"/>
  <c r="H16"/>
  <c r="L68" i="12" s="1"/>
  <c r="I10" i="3"/>
  <c r="H10"/>
  <c r="L62" i="12" s="1"/>
  <c r="I4" i="3"/>
  <c r="H4"/>
  <c r="L56" i="12" s="1"/>
  <c r="H28" i="3"/>
  <c r="L80" i="12" s="1"/>
  <c r="I28" i="3"/>
  <c r="H26"/>
  <c r="L78" i="12" s="1"/>
  <c r="I26" i="3"/>
  <c r="H24"/>
  <c r="L76" i="12" s="1"/>
  <c r="I24" i="3"/>
  <c r="H22"/>
  <c r="L74" i="12" s="1"/>
  <c r="I22" i="3"/>
  <c r="I34"/>
  <c r="H34"/>
  <c r="L86" i="12" s="1"/>
  <c r="H37" i="3"/>
  <c r="L89" i="12" s="1"/>
  <c r="I37" i="3"/>
  <c r="H50"/>
  <c r="L102" i="12" s="1"/>
  <c r="I50" i="3"/>
  <c r="H48"/>
  <c r="L100" i="12" s="1"/>
  <c r="I48" i="3"/>
  <c r="H46"/>
  <c r="L98" i="12" s="1"/>
  <c r="I46" i="3"/>
  <c r="H44"/>
  <c r="L96" i="12" s="1"/>
  <c r="I44" i="3"/>
  <c r="I42"/>
  <c r="H42"/>
  <c r="L94" i="12" s="1"/>
  <c r="I40" i="3"/>
  <c r="H40"/>
  <c r="L92" i="12" s="1"/>
  <c r="I38" i="3"/>
  <c r="H38"/>
  <c r="L90" i="12" s="1"/>
  <c r="H43" i="3"/>
  <c r="L95" i="12" s="1"/>
  <c r="I43" i="3"/>
  <c r="I30"/>
  <c r="H30"/>
  <c r="H23" i="13"/>
  <c r="H28" s="1"/>
  <c r="G52" i="3"/>
  <c r="J104" i="12" s="1"/>
  <c r="G35" i="3"/>
  <c r="J87" i="12" s="1"/>
  <c r="G18" i="3"/>
  <c r="J70" i="12" s="1"/>
  <c r="G53" i="3"/>
  <c r="F52"/>
  <c r="E52"/>
  <c r="F35"/>
  <c r="E35"/>
  <c r="F18"/>
  <c r="E18"/>
  <c r="F16" i="5"/>
  <c r="E16"/>
  <c r="L16" s="1"/>
  <c r="D16"/>
  <c r="K16" s="1"/>
  <c r="C16"/>
  <c r="J16" s="1"/>
  <c r="C15" i="2"/>
  <c r="C14"/>
  <c r="C28" i="6"/>
  <c r="C38"/>
  <c r="H35" i="3" l="1"/>
  <c r="L87" i="12" s="1"/>
  <c r="L82"/>
  <c r="H52" i="3"/>
  <c r="L104" i="12" s="1"/>
  <c r="H18" i="3"/>
  <c r="L70" i="12" s="1"/>
  <c r="I52" i="3"/>
  <c r="I18"/>
  <c r="I35"/>
  <c r="H53"/>
  <c r="I53"/>
  <c r="F54"/>
  <c r="G54"/>
  <c r="E9" i="12" s="1"/>
  <c r="E54" i="3"/>
  <c r="H8" i="6"/>
  <c r="I55" i="3" l="1"/>
  <c r="I56" s="1"/>
  <c r="I54" s="1"/>
  <c r="F20" i="12"/>
  <c r="H26" l="1"/>
  <c r="F26"/>
  <c r="D26"/>
  <c r="L4" i="5" l="1"/>
  <c r="M32" i="6"/>
  <c r="E23" i="12"/>
  <c r="F21"/>
  <c r="H19"/>
  <c r="F19"/>
  <c r="E19"/>
  <c r="F15"/>
  <c r="D15"/>
  <c r="J13"/>
  <c r="F13"/>
  <c r="K10"/>
  <c r="E11"/>
  <c r="I7"/>
  <c r="E7"/>
  <c r="E5"/>
  <c r="F4"/>
  <c r="J1"/>
  <c r="M35" i="6" l="1"/>
  <c r="M34"/>
  <c r="M33"/>
  <c r="F34"/>
  <c r="C36" s="1"/>
  <c r="F33"/>
  <c r="C37" s="1"/>
  <c r="G63" i="4" l="1"/>
  <c r="G64"/>
  <c r="G65"/>
  <c r="G66"/>
  <c r="G67"/>
  <c r="G68"/>
  <c r="G69"/>
  <c r="G62"/>
  <c r="G61"/>
  <c r="G60"/>
  <c r="G59"/>
  <c r="G58"/>
  <c r="G57"/>
  <c r="G56"/>
  <c r="G55"/>
  <c r="G54"/>
  <c r="G53"/>
  <c r="G52"/>
  <c r="G51"/>
  <c r="G50"/>
  <c r="G49"/>
  <c r="G48"/>
  <c r="G47"/>
  <c r="G46"/>
  <c r="G45"/>
  <c r="G44"/>
  <c r="G43"/>
  <c r="G42"/>
  <c r="G41"/>
  <c r="G40"/>
  <c r="G39"/>
  <c r="G38"/>
  <c r="G37"/>
  <c r="G36"/>
  <c r="G35"/>
  <c r="G34"/>
  <c r="G33"/>
  <c r="G32"/>
  <c r="G31"/>
  <c r="G30"/>
  <c r="G29"/>
  <c r="G28"/>
  <c r="G27"/>
  <c r="G26"/>
  <c r="G25"/>
  <c r="G24"/>
  <c r="G23"/>
  <c r="G22"/>
  <c r="G21"/>
  <c r="G20"/>
  <c r="G19"/>
  <c r="G18"/>
  <c r="G17"/>
  <c r="G16"/>
  <c r="G15"/>
  <c r="G14"/>
  <c r="G13"/>
  <c r="G12"/>
  <c r="G11"/>
  <c r="G10"/>
  <c r="G9" l="1"/>
  <c r="G8"/>
  <c r="G3" l="1"/>
  <c r="G4" l="1"/>
  <c r="G5"/>
  <c r="G6"/>
  <c r="G7"/>
  <c r="H54" i="3" l="1"/>
  <c r="H57" l="1"/>
  <c r="H55"/>
  <c r="H56"/>
  <c r="H4" i="6"/>
  <c r="B5" i="2" l="1"/>
  <c r="M5" i="5" l="1"/>
  <c r="M6"/>
  <c r="M7"/>
  <c r="M8"/>
  <c r="M9"/>
  <c r="M10"/>
  <c r="M11"/>
  <c r="M12"/>
  <c r="M13"/>
  <c r="M14"/>
  <c r="M15"/>
  <c r="M16"/>
  <c r="M4"/>
  <c r="L5"/>
  <c r="H36" i="12" s="1"/>
  <c r="L6" i="5"/>
  <c r="H37" i="12" s="1"/>
  <c r="L7" i="5"/>
  <c r="H38" i="12" s="1"/>
  <c r="L8" i="5"/>
  <c r="H39" i="12" s="1"/>
  <c r="L9" i="5"/>
  <c r="H40" i="12" s="1"/>
  <c r="L10" i="5"/>
  <c r="H41" i="12" s="1"/>
  <c r="L11" i="5"/>
  <c r="H42" i="12" s="1"/>
  <c r="L12" i="5"/>
  <c r="H43" i="12" s="1"/>
  <c r="L13" i="5"/>
  <c r="H44" i="12" s="1"/>
  <c r="L14" i="5"/>
  <c r="H45" i="12" s="1"/>
  <c r="L15" i="5"/>
  <c r="H46" i="12" s="1"/>
  <c r="H35"/>
  <c r="K5" i="5"/>
  <c r="K6"/>
  <c r="K7"/>
  <c r="K8"/>
  <c r="K9"/>
  <c r="K10"/>
  <c r="K11"/>
  <c r="K12"/>
  <c r="K13"/>
  <c r="K14"/>
  <c r="K15"/>
  <c r="K4"/>
  <c r="J5"/>
  <c r="J6"/>
  <c r="J7"/>
  <c r="J8"/>
  <c r="J9"/>
  <c r="J10"/>
  <c r="J11"/>
  <c r="J12"/>
  <c r="J13"/>
  <c r="J14"/>
  <c r="J15"/>
  <c r="J4"/>
  <c r="C39" i="6" l="1"/>
  <c r="F24" i="12" s="1"/>
  <c r="E3" i="6"/>
  <c r="B50" i="2"/>
  <c r="B44"/>
  <c r="B38"/>
  <c r="C27"/>
  <c r="D27"/>
  <c r="E27"/>
  <c r="B27"/>
  <c r="D4" i="6" l="1"/>
  <c r="D5" s="1"/>
  <c r="E16"/>
  <c r="J10"/>
  <c r="G38" i="12" l="1"/>
  <c r="E10"/>
  <c r="G39"/>
  <c r="G41"/>
  <c r="G46"/>
  <c r="G36"/>
  <c r="G43"/>
  <c r="M7" i="6"/>
  <c r="M6" s="1"/>
  <c r="C30" s="1"/>
  <c r="F30" s="1"/>
  <c r="G37" i="12"/>
  <c r="G45"/>
  <c r="G42"/>
  <c r="G35"/>
  <c r="G44"/>
  <c r="G40"/>
  <c r="J12" i="6"/>
  <c r="F31" i="12" s="1"/>
  <c r="F27"/>
  <c r="E16" l="1"/>
  <c r="C31" i="6"/>
  <c r="C35" s="1"/>
  <c r="K17" i="12"/>
  <c r="G16" i="6" l="1"/>
  <c r="C32"/>
  <c r="F22" i="12"/>
  <c r="E17" l="1"/>
  <c r="F37"/>
  <c r="F36"/>
  <c r="F42"/>
  <c r="F35"/>
  <c r="F43"/>
  <c r="F38"/>
  <c r="F45"/>
  <c r="F44"/>
  <c r="F39"/>
  <c r="F41"/>
  <c r="F40"/>
  <c r="F46"/>
  <c r="M5" i="6"/>
  <c r="J11" s="1"/>
  <c r="J14" l="1"/>
  <c r="F29" i="12" s="1"/>
  <c r="J13" i="6"/>
  <c r="F30" i="12" s="1"/>
  <c r="F28"/>
</calcChain>
</file>

<file path=xl/sharedStrings.xml><?xml version="1.0" encoding="utf-8"?>
<sst xmlns="http://schemas.openxmlformats.org/spreadsheetml/2006/main" count="622" uniqueCount="398">
  <si>
    <t xml:space="preserve"> </t>
  </si>
  <si>
    <t>Date :</t>
  </si>
  <si>
    <t>Nom du Client / Société :</t>
  </si>
  <si>
    <t>Adresse / N° de tel :</t>
  </si>
  <si>
    <t>Pays :</t>
  </si>
  <si>
    <t>Code postal :</t>
  </si>
  <si>
    <t>Ville :</t>
  </si>
  <si>
    <t>Latitude :</t>
  </si>
  <si>
    <t>Longitude :</t>
  </si>
  <si>
    <t>Elles permettent de déterminer les données d'irradiation via PVGIS africa</t>
  </si>
  <si>
    <t>disponible sur http://re.jrc.ec.europa.eu/pvgis/apps4/pvest.php?lang=fr&amp;map=africa. Pour la</t>
  </si>
  <si>
    <t>zone Afrique.</t>
  </si>
  <si>
    <t>Elevation / Altitude :</t>
  </si>
  <si>
    <t>Sur toiture existante</t>
  </si>
  <si>
    <t>Dimension du toit</t>
  </si>
  <si>
    <t>Pan 1</t>
  </si>
  <si>
    <t>Pan 2</t>
  </si>
  <si>
    <t>Pan 3</t>
  </si>
  <si>
    <t>Pan 4</t>
  </si>
  <si>
    <t>longueur (m) :</t>
  </si>
  <si>
    <t>largeur (m) :</t>
  </si>
  <si>
    <t>Inclinaison (°) :</t>
  </si>
  <si>
    <t>Orientation (Azumuth) :</t>
  </si>
  <si>
    <t>Etat du toit :</t>
  </si>
  <si>
    <t>Etat de la Charpente :</t>
  </si>
  <si>
    <t>surface total (m²) :</t>
  </si>
  <si>
    <t>N.B.: S'il existe plusieurs Pan de toiture, les données relatives à chaque pan devrait être relevées pour une analyse ultérieure.</t>
  </si>
  <si>
    <t>Au Sol</t>
  </si>
  <si>
    <t>Longueur (m) :</t>
  </si>
  <si>
    <t>Largeur (m) :</t>
  </si>
  <si>
    <t>Surface total dispo (m²) :</t>
  </si>
  <si>
    <t>Sur dâle</t>
  </si>
  <si>
    <t>En ombrière</t>
  </si>
  <si>
    <t>Dimension de l' Espace disponible sur la dâle</t>
  </si>
  <si>
    <t>Dimension de l' Espace au sol</t>
  </si>
  <si>
    <t xml:space="preserve">Dimension de l' Espace disponible </t>
  </si>
  <si>
    <t>e-mail :</t>
  </si>
  <si>
    <t>Site étudié :</t>
  </si>
  <si>
    <t>Poteau électrique</t>
  </si>
  <si>
    <t>Arbres</t>
  </si>
  <si>
    <t>Bâtiment</t>
  </si>
  <si>
    <t>Mûr</t>
  </si>
  <si>
    <t>Degré décimal</t>
  </si>
  <si>
    <t>Degré, minute, seconde</t>
  </si>
  <si>
    <t xml:space="preserve">                   Quel type de besoin doit être couvert ? :</t>
  </si>
  <si>
    <r>
      <rPr>
        <b/>
        <sz val="11"/>
        <color theme="1"/>
        <rFont val="Calibri"/>
        <family val="2"/>
        <scheme val="minor"/>
      </rPr>
      <t xml:space="preserve">                 Pour quel système de pose optez-vous ?</t>
    </r>
    <r>
      <rPr>
        <sz val="11"/>
        <color theme="1"/>
        <rFont val="Calibri"/>
        <family val="2"/>
        <scheme val="minor"/>
      </rPr>
      <t xml:space="preserve"> :</t>
    </r>
  </si>
  <si>
    <t>toit-local technique (m):</t>
  </si>
  <si>
    <t xml:space="preserve">          Distance par rapport au local technique (m) :</t>
  </si>
  <si>
    <t xml:space="preserve">                Quel type d'installation doit être conçu? :</t>
  </si>
  <si>
    <t>Hauteur 1 (°)</t>
  </si>
  <si>
    <t>Hauteur 2 (°)</t>
  </si>
  <si>
    <t>Hauteur 3 (°)</t>
  </si>
  <si>
    <t>Hauteur 4 (°)</t>
  </si>
  <si>
    <t>Hauteur 5 (°)</t>
  </si>
  <si>
    <t>TOTAL</t>
  </si>
  <si>
    <t>TOTAL :</t>
  </si>
  <si>
    <t>Ordinateur de bureau</t>
  </si>
  <si>
    <t>Lap-top</t>
  </si>
  <si>
    <t xml:space="preserve">Refrigérateur </t>
  </si>
  <si>
    <t>Congélateur</t>
  </si>
  <si>
    <t>TOTAUX</t>
  </si>
  <si>
    <t>Energie (kWh/semaine) :</t>
  </si>
  <si>
    <t>Energie (kWh/mois) :</t>
  </si>
  <si>
    <t>Energie (kWh/an) :</t>
  </si>
  <si>
    <r>
      <t xml:space="preserve">: </t>
    </r>
    <r>
      <rPr>
        <b/>
        <u/>
        <sz val="12"/>
        <color theme="1"/>
        <rFont val="Times New Roman"/>
        <family val="1"/>
      </rPr>
      <t>IMPORTANT</t>
    </r>
  </si>
  <si>
    <t>Mois</t>
  </si>
  <si>
    <t>Jan</t>
  </si>
  <si>
    <t>Fev</t>
  </si>
  <si>
    <t>Mar</t>
  </si>
  <si>
    <t>Avr</t>
  </si>
  <si>
    <t>Mai</t>
  </si>
  <si>
    <t>Juin</t>
  </si>
  <si>
    <t>Jui</t>
  </si>
  <si>
    <t>Aug</t>
  </si>
  <si>
    <t>Sep</t>
  </si>
  <si>
    <t>Oct</t>
  </si>
  <si>
    <t>Nov</t>
  </si>
  <si>
    <t>Dec</t>
  </si>
  <si>
    <t>Année</t>
  </si>
  <si>
    <t>Hin</t>
  </si>
  <si>
    <t xml:space="preserve">Hin </t>
  </si>
  <si>
    <t>Hh : Irradiation sur un plan horizontal (kWh/m2/jour)</t>
  </si>
  <si>
    <t>Hopt : Irradiation sur un plan avec l'inclinaison optimale (kWh/m2/jour)</t>
  </si>
  <si>
    <t>Hin : Irradiation sur le plan incliné choisi (kWh/m2/jour)</t>
  </si>
  <si>
    <t>Entrer l'irradiation du site (Ei) :</t>
  </si>
  <si>
    <t>Tension de batterie :</t>
  </si>
  <si>
    <t>Profondeur de décharge de batterie (PD) :</t>
  </si>
  <si>
    <t>V</t>
  </si>
  <si>
    <t>Nombre de jour d'autonomie (Nj) :</t>
  </si>
  <si>
    <t>%</t>
  </si>
  <si>
    <t>Ah</t>
  </si>
  <si>
    <t>Jour(s)</t>
  </si>
  <si>
    <t>Wc</t>
  </si>
  <si>
    <t>kWc</t>
  </si>
  <si>
    <t>kWh/m²/jour</t>
  </si>
  <si>
    <t>Coeficient de température (K(C)) :</t>
  </si>
  <si>
    <t xml:space="preserve">                        Tension :</t>
  </si>
  <si>
    <t xml:space="preserve">          Capacité nominal :</t>
  </si>
  <si>
    <t xml:space="preserve">           Type de batteire :</t>
  </si>
  <si>
    <t xml:space="preserve">            Batterie en série :</t>
  </si>
  <si>
    <t>Capacité global du Parc :</t>
  </si>
  <si>
    <t xml:space="preserve">Nombre total de Batterie: </t>
  </si>
  <si>
    <t>Tension du parc de Batt :</t>
  </si>
  <si>
    <t xml:space="preserve">                     Fabricant :</t>
  </si>
  <si>
    <t>Entrer les informations importantes des équipements devant constituer votre installation.</t>
  </si>
  <si>
    <t>Fabricant :</t>
  </si>
  <si>
    <t>Type :</t>
  </si>
  <si>
    <t>Nombre d'entré PV :</t>
  </si>
  <si>
    <t>A</t>
  </si>
  <si>
    <t>Puissance Nominale :</t>
  </si>
  <si>
    <t>Tension à puissance maximale (Vmpp) :</t>
  </si>
  <si>
    <t>Tension en circuit ouvert (Voc) :</t>
  </si>
  <si>
    <t>Courant de court-circuit (Isc) :</t>
  </si>
  <si>
    <t>mètre</t>
  </si>
  <si>
    <t>Longueur de pose du panneau :</t>
  </si>
  <si>
    <t xml:space="preserve">Largeur de pose du panneau : </t>
  </si>
  <si>
    <t>Surface de pose du panneau :</t>
  </si>
  <si>
    <t>m²</t>
  </si>
  <si>
    <t xml:space="preserve">      Branche en parallèle :</t>
  </si>
  <si>
    <t>237 ES.Calcul</t>
  </si>
  <si>
    <t>237 Energie Solaire</t>
  </si>
  <si>
    <t>Projet :</t>
  </si>
  <si>
    <t>Entrer l'orientation (°) du champ choisi :</t>
  </si>
  <si>
    <t>Inclinaison :</t>
  </si>
  <si>
    <t>°</t>
  </si>
  <si>
    <t>Module PV</t>
  </si>
  <si>
    <t>kWh/jour</t>
  </si>
  <si>
    <t>Ratio de Performence (PR) :</t>
  </si>
  <si>
    <t>Entrer la condition qui Représente le mieux votre système :</t>
  </si>
  <si>
    <t>Entrer la température de fonctionnement des batteries :</t>
  </si>
  <si>
    <t>°C</t>
  </si>
  <si>
    <t>Coordonnées :</t>
  </si>
  <si>
    <t>Mars</t>
  </si>
  <si>
    <t>Août</t>
  </si>
  <si>
    <t>Juil</t>
  </si>
  <si>
    <t>Besion à couvrir (kWh/jour)</t>
  </si>
  <si>
    <t>Production du champ PV (kWh/jour)</t>
  </si>
  <si>
    <t xml:space="preserve">Ampoule Incandescente </t>
  </si>
  <si>
    <t>Globe LED</t>
  </si>
  <si>
    <t>Ampoule Halogène</t>
  </si>
  <si>
    <t>Spot LED</t>
  </si>
  <si>
    <t>Globe/Spot LED</t>
  </si>
  <si>
    <t>Réglette Halogène 3 x 20 W</t>
  </si>
  <si>
    <t>Bar LED</t>
  </si>
  <si>
    <t>Tube T8 600 mm</t>
  </si>
  <si>
    <t>Tube T8 1200 mm</t>
  </si>
  <si>
    <t>Tube T8 1500 mm</t>
  </si>
  <si>
    <t>Tube T8 600 mm LED</t>
  </si>
  <si>
    <t>Tube T8 1200 mm LED</t>
  </si>
  <si>
    <t>Tube T8 1500 mm LED</t>
  </si>
  <si>
    <t>Luminaire Etanche T8 1200 mm</t>
  </si>
  <si>
    <t>Luminaire Etanche T8 1200 mm LED</t>
  </si>
  <si>
    <t>Luminaire Etanche T8 1500 mm</t>
  </si>
  <si>
    <t>Luminaire Etanche T8 1500 mm LED</t>
  </si>
  <si>
    <t>Pavé 4 x 18 W</t>
  </si>
  <si>
    <t>Pavé 3 x 18 W</t>
  </si>
  <si>
    <t>Pavé 4 x 14 W</t>
  </si>
  <si>
    <t>LED Panel</t>
  </si>
  <si>
    <t>Downlight 1 x 18 W</t>
  </si>
  <si>
    <t>Downlight 2 x 18 W</t>
  </si>
  <si>
    <t>Downlight 2 x 42 W</t>
  </si>
  <si>
    <t>Downlight 2 x 57 W</t>
  </si>
  <si>
    <t>Downlight</t>
  </si>
  <si>
    <t>Downlight 14 W</t>
  </si>
  <si>
    <t>Downlight 2 x 14 W</t>
  </si>
  <si>
    <t>Halogène 50 W</t>
  </si>
  <si>
    <t>Projecteur</t>
  </si>
  <si>
    <t>Spot Rai</t>
  </si>
  <si>
    <t>Hunlot 2 x 18 W</t>
  </si>
  <si>
    <t>Hunlot 2 x 28 W</t>
  </si>
  <si>
    <t>Hunlot</t>
  </si>
  <si>
    <t>Tube T8 36 W</t>
  </si>
  <si>
    <t>Tube T8 2 x 36 W</t>
  </si>
  <si>
    <t>Tube T8 3 x 36 W</t>
  </si>
  <si>
    <t>Suspente directe</t>
  </si>
  <si>
    <t>Projecteur Halogène</t>
  </si>
  <si>
    <t>Flood light</t>
  </si>
  <si>
    <t>Tunnel light</t>
  </si>
  <si>
    <t>Tête de lampadaire</t>
  </si>
  <si>
    <t>Tête de lampadaire LED</t>
  </si>
  <si>
    <t>Déco</t>
  </si>
  <si>
    <t>Mini spot</t>
  </si>
  <si>
    <t>2 Mini spot</t>
  </si>
  <si>
    <t>Lampe Industrielle</t>
  </si>
  <si>
    <t>Téléviseur à tube cathodique</t>
  </si>
  <si>
    <t>/</t>
  </si>
  <si>
    <t>TV LCD</t>
  </si>
  <si>
    <t>TV LED</t>
  </si>
  <si>
    <t>Réfrigérateur A+, A++, A+++</t>
  </si>
  <si>
    <t>Congélateur A+, A++, A+++</t>
  </si>
  <si>
    <t xml:space="preserve">                               </t>
  </si>
  <si>
    <t>Entrer le coefficient d'extension :</t>
  </si>
  <si>
    <t xml:space="preserve">                                    </t>
  </si>
  <si>
    <t>Besoin d'énergie journalière :</t>
  </si>
  <si>
    <t>Entrer les données importantes concernants la batterie choisie pour constituer votre parc de batterie.</t>
  </si>
  <si>
    <t>PANNEAU SOLAIRE PV</t>
  </si>
  <si>
    <t>Courant à puissance maximale (Impp) :</t>
  </si>
  <si>
    <t>Tension du système (V) :</t>
  </si>
  <si>
    <t>Puissance Nominal (W) :</t>
  </si>
  <si>
    <t>Tension à vide min d'entré du panneau par entré (V) :</t>
  </si>
  <si>
    <t>Tension à vide max d'entré du panneau par entré (V) :</t>
  </si>
  <si>
    <t>Courant d'entré du panneau solaire par entré (A):</t>
  </si>
  <si>
    <t>ONDULEUR PV</t>
  </si>
  <si>
    <t>REGULATEUR PV</t>
  </si>
  <si>
    <t>Puissance Nomimal (Wc) :</t>
  </si>
  <si>
    <t>Puissance max admissible (Wc):</t>
  </si>
  <si>
    <t xml:space="preserve">Tension min par entré (V) : </t>
  </si>
  <si>
    <t>Tension max par entré (V) :</t>
  </si>
  <si>
    <t>Courant d'entré max admisible (A) :</t>
  </si>
  <si>
    <r>
      <t>IMPORTANT</t>
    </r>
    <r>
      <rPr>
        <b/>
        <sz val="12"/>
        <color theme="1"/>
        <rFont val="Segoe UI"/>
        <family val="2"/>
      </rPr>
      <t xml:space="preserve"> :</t>
    </r>
  </si>
  <si>
    <r>
      <t xml:space="preserve">  </t>
    </r>
    <r>
      <rPr>
        <b/>
        <u/>
        <sz val="12"/>
        <color theme="1"/>
        <rFont val="Segoe UI"/>
        <family val="2"/>
      </rPr>
      <t>IMPORTANT</t>
    </r>
    <r>
      <rPr>
        <b/>
        <sz val="12"/>
        <color theme="1"/>
        <rFont val="Segoe UI"/>
        <family val="2"/>
      </rPr>
      <t xml:space="preserve"> :</t>
    </r>
  </si>
  <si>
    <t xml:space="preserve">               Estimation de la capacité :</t>
  </si>
  <si>
    <t xml:space="preserve">           Estimation de puissance PV :</t>
  </si>
  <si>
    <t>Nombre de Panneaux :</t>
  </si>
  <si>
    <t>Puissance Total du Champ :</t>
  </si>
  <si>
    <t>Surface installée :</t>
  </si>
  <si>
    <t>Nombre de régulateur :</t>
  </si>
  <si>
    <t>Nombre min de panneau(x) en série :</t>
  </si>
  <si>
    <t>Nombre max de panneau(x) en série :</t>
  </si>
  <si>
    <t>Nombre max de branche parallèle :</t>
  </si>
  <si>
    <t>Nombre d'onduleur PV :</t>
  </si>
  <si>
    <t>Coeff K :</t>
  </si>
  <si>
    <t>Caractéristique du Champ PV</t>
  </si>
  <si>
    <t>Nombre de panneau(x) en série :</t>
  </si>
  <si>
    <t>Nombre de chaîne(s) en parallèle :</t>
  </si>
  <si>
    <t>Caractéristique du panneau utilisé</t>
  </si>
  <si>
    <t xml:space="preserve">Type : </t>
  </si>
  <si>
    <t>Résistivité :</t>
  </si>
  <si>
    <t>Ω/mm²/m</t>
  </si>
  <si>
    <t>Caractéristique des câbles utilisés</t>
  </si>
  <si>
    <t>mm²</t>
  </si>
  <si>
    <t>Section de câble utilisé :</t>
  </si>
  <si>
    <t>COTE PARC DE BATTERIES</t>
  </si>
  <si>
    <t>Connectique entre Parc de Batteries et Onduleur/Régulateur</t>
  </si>
  <si>
    <t>Caractéristique Importante</t>
  </si>
  <si>
    <t>W</t>
  </si>
  <si>
    <t>Puissance Totale des charges :</t>
  </si>
  <si>
    <t>Tension du Parc de batteries :</t>
  </si>
  <si>
    <r>
      <t>C</t>
    </r>
    <r>
      <rPr>
        <sz val="10"/>
        <color theme="1"/>
        <rFont val="Segeo ui"/>
      </rPr>
      <t>ourant de charge des batts du Régulateur :</t>
    </r>
  </si>
  <si>
    <t>Estimation de section de Câble entre Parc de batteries et Onduleur/Régulateur</t>
  </si>
  <si>
    <t>CHUTE DE TENSION DU SYSTÈME</t>
  </si>
  <si>
    <t>Remplir les longueurs de câble correspondant :</t>
  </si>
  <si>
    <t>Entre le panneau le plus éloigné de la boîte de jonction et celle-ci :</t>
  </si>
  <si>
    <t>Entre le panneau le plus proche de la boîte de jonction et celle-ci :</t>
  </si>
  <si>
    <t>Entre la boîte de jonction et le régulateur :</t>
  </si>
  <si>
    <t>Entre Parc de batteries et Onduleur/Régulageur :</t>
  </si>
  <si>
    <t>m</t>
  </si>
  <si>
    <t>Chute de tension des portion en fonction des longueurs entrées</t>
  </si>
  <si>
    <t>T° min de fonctionnement des modules PV (°C) :</t>
  </si>
  <si>
    <t>T° max de fonctionnement des modules PV (°C) :</t>
  </si>
  <si>
    <t>Entrer le monbre de panneaux en série par régulateur validé :</t>
  </si>
  <si>
    <t>Entrer le nombre de chaîne en parallèle par régulateur validé :</t>
  </si>
  <si>
    <t>Vmpp (V) :</t>
  </si>
  <si>
    <t xml:space="preserve"> Impp (A) :</t>
  </si>
  <si>
    <t>Voc (V) :</t>
  </si>
  <si>
    <t>Isc (A) :</t>
  </si>
  <si>
    <t>Caractéristique sous-champ connecté à une boîte de jonction</t>
  </si>
  <si>
    <t>SYSTÈME PV AUTONOME</t>
  </si>
  <si>
    <t>Projet PV autonome à</t>
  </si>
  <si>
    <t xml:space="preserve">Site géographique : </t>
  </si>
  <si>
    <t>Situation du site :</t>
  </si>
  <si>
    <t>N</t>
  </si>
  <si>
    <t>E</t>
  </si>
  <si>
    <t>Elevation/Altitude :</t>
  </si>
  <si>
    <t>m.s.n.m</t>
  </si>
  <si>
    <t>Besoin à couvrir :</t>
  </si>
  <si>
    <t>Irradiation min du site :</t>
  </si>
  <si>
    <t>kWh/m²/j</t>
  </si>
  <si>
    <t>Jours</t>
  </si>
  <si>
    <t>Autonomie des batteries :</t>
  </si>
  <si>
    <t>Paramètre d'estimation :</t>
  </si>
  <si>
    <t>Orientation/Azimuth :</t>
  </si>
  <si>
    <t>Caractéristique plan capteur</t>
  </si>
  <si>
    <t>Nombre de panneaux :</t>
  </si>
  <si>
    <t>Puissance Champ PV :</t>
  </si>
  <si>
    <t>Soit une surface à installer d'environ :</t>
  </si>
  <si>
    <t>Régulateur PV</t>
  </si>
  <si>
    <t>Nombre de panneaux en série :</t>
  </si>
  <si>
    <t>Nombre de branche en parallèle :</t>
  </si>
  <si>
    <t>Onduleur PV</t>
  </si>
  <si>
    <t>GRAPHIQUE DE PRODUCTION PARAPORT AU BESOIN A COUVRIRET EN FONCTION DE L'IRRADIATION DU SITE</t>
  </si>
  <si>
    <t>Sept</t>
  </si>
  <si>
    <t>Irradiation du site (kWh/m²/jour)</t>
  </si>
  <si>
    <t>PARC DE BATTERIES</t>
  </si>
  <si>
    <t>Batterie</t>
  </si>
  <si>
    <t>Nonbre de batteries en série :</t>
  </si>
  <si>
    <t>Nombre de branche en prallèle :</t>
  </si>
  <si>
    <t>Nombre Total de batterie :</t>
  </si>
  <si>
    <t>Capacité du parc de Batteries :</t>
  </si>
  <si>
    <t>Tension du parc de batteries :</t>
  </si>
  <si>
    <r>
      <rPr>
        <b/>
        <sz val="11"/>
        <color theme="1"/>
        <rFont val="Segoe UI"/>
        <family val="2"/>
      </rPr>
      <t>Caractéristiques conseillées pour le choix du régulateu</t>
    </r>
    <r>
      <rPr>
        <b/>
        <sz val="12"/>
        <color theme="1"/>
        <rFont val="Segoe UI"/>
        <family val="2"/>
      </rPr>
      <t>r :</t>
    </r>
  </si>
  <si>
    <r>
      <t>H</t>
    </r>
    <r>
      <rPr>
        <b/>
        <i/>
        <vertAlign val="subscript"/>
        <sz val="12"/>
        <color theme="1"/>
        <rFont val="Segoe UI"/>
        <family val="2"/>
      </rPr>
      <t>h</t>
    </r>
  </si>
  <si>
    <r>
      <t>H</t>
    </r>
    <r>
      <rPr>
        <b/>
        <i/>
        <vertAlign val="subscript"/>
        <sz val="12"/>
        <color theme="1"/>
        <rFont val="Segoe UI"/>
        <family val="2"/>
      </rPr>
      <t>opt</t>
    </r>
  </si>
  <si>
    <r>
      <t>I</t>
    </r>
    <r>
      <rPr>
        <b/>
        <i/>
        <vertAlign val="subscript"/>
        <sz val="12"/>
        <color theme="1"/>
        <rFont val="Segoe UI"/>
        <family val="2"/>
      </rPr>
      <t xml:space="preserve">opt  </t>
    </r>
  </si>
  <si>
    <r>
      <t>H</t>
    </r>
    <r>
      <rPr>
        <b/>
        <i/>
        <vertAlign val="subscript"/>
        <sz val="10.5"/>
        <color rgb="FF000000"/>
        <rFont val="Segoe UI"/>
        <family val="2"/>
      </rPr>
      <t>h</t>
    </r>
    <r>
      <rPr>
        <b/>
        <sz val="10.5"/>
        <color rgb="FF000000"/>
        <rFont val="Segoe UI"/>
        <family val="2"/>
      </rPr>
      <t>: Irradiation sur un plan horizontal (Wh/m</t>
    </r>
    <r>
      <rPr>
        <b/>
        <vertAlign val="superscript"/>
        <sz val="10.5"/>
        <color rgb="FF000000"/>
        <rFont val="Segoe UI"/>
        <family val="2"/>
      </rPr>
      <t>2</t>
    </r>
    <r>
      <rPr>
        <b/>
        <sz val="10.5"/>
        <color rgb="FF000000"/>
        <rFont val="Segoe UI"/>
        <family val="2"/>
      </rPr>
      <t>/jour)</t>
    </r>
  </si>
  <si>
    <r>
      <t>H</t>
    </r>
    <r>
      <rPr>
        <b/>
        <i/>
        <vertAlign val="subscript"/>
        <sz val="10.5"/>
        <color rgb="FF000000"/>
        <rFont val="Segoe UI"/>
        <family val="2"/>
      </rPr>
      <t>h</t>
    </r>
    <r>
      <rPr>
        <b/>
        <sz val="10.5"/>
        <color rgb="FF000000"/>
        <rFont val="Segoe UI"/>
        <family val="2"/>
      </rPr>
      <t>: Irradiation sur un plan horizontal (kWh/m</t>
    </r>
    <r>
      <rPr>
        <b/>
        <vertAlign val="superscript"/>
        <sz val="10.5"/>
        <color rgb="FF000000"/>
        <rFont val="Segoe UI"/>
        <family val="2"/>
      </rPr>
      <t>2</t>
    </r>
    <r>
      <rPr>
        <b/>
        <sz val="10.5"/>
        <color rgb="FF000000"/>
        <rFont val="Segoe UI"/>
        <family val="2"/>
      </rPr>
      <t>/jour)</t>
    </r>
  </si>
  <si>
    <r>
      <t>H</t>
    </r>
    <r>
      <rPr>
        <b/>
        <i/>
        <vertAlign val="subscript"/>
        <sz val="10.5"/>
        <color rgb="FF000000"/>
        <rFont val="Segoe UI"/>
        <family val="2"/>
      </rPr>
      <t>opt</t>
    </r>
    <r>
      <rPr>
        <b/>
        <sz val="10.5"/>
        <color rgb="FF000000"/>
        <rFont val="Segoe UI"/>
        <family val="2"/>
      </rPr>
      <t>: Irradiation sur un plan avec l'inclinaison optimale (Wh/m</t>
    </r>
    <r>
      <rPr>
        <b/>
        <vertAlign val="superscript"/>
        <sz val="10.5"/>
        <color rgb="FF000000"/>
        <rFont val="Segoe UI"/>
        <family val="2"/>
      </rPr>
      <t>2</t>
    </r>
    <r>
      <rPr>
        <b/>
        <sz val="10.5"/>
        <color rgb="FF000000"/>
        <rFont val="Segoe UI"/>
        <family val="2"/>
      </rPr>
      <t>/jour)</t>
    </r>
  </si>
  <si>
    <r>
      <t>H</t>
    </r>
    <r>
      <rPr>
        <b/>
        <i/>
        <vertAlign val="subscript"/>
        <sz val="10.5"/>
        <color rgb="FF000000"/>
        <rFont val="Segoe UI"/>
        <family val="2"/>
      </rPr>
      <t>opt</t>
    </r>
    <r>
      <rPr>
        <b/>
        <sz val="10.5"/>
        <color rgb="FF000000"/>
        <rFont val="Segoe UI"/>
        <family val="2"/>
      </rPr>
      <t>: Irradiation sur un plan avec l'inclinaison optimale (kWh/m</t>
    </r>
    <r>
      <rPr>
        <b/>
        <vertAlign val="superscript"/>
        <sz val="10.5"/>
        <color rgb="FF000000"/>
        <rFont val="Segoe UI"/>
        <family val="2"/>
      </rPr>
      <t>2</t>
    </r>
    <r>
      <rPr>
        <b/>
        <sz val="10.5"/>
        <color rgb="FF000000"/>
        <rFont val="Segoe UI"/>
        <family val="2"/>
      </rPr>
      <t>/jour)</t>
    </r>
  </si>
  <si>
    <r>
      <t>Hin</t>
    </r>
    <r>
      <rPr>
        <b/>
        <sz val="10.5"/>
        <color rgb="FF000000"/>
        <rFont val="Segoe UI"/>
        <family val="2"/>
      </rPr>
      <t>: Irradiation sur le plan incliné choisi (Wh/m</t>
    </r>
    <r>
      <rPr>
        <b/>
        <vertAlign val="superscript"/>
        <sz val="10.5"/>
        <color rgb="FF000000"/>
        <rFont val="Segoe UI"/>
        <family val="2"/>
      </rPr>
      <t>2</t>
    </r>
    <r>
      <rPr>
        <b/>
        <sz val="10.5"/>
        <color rgb="FF000000"/>
        <rFont val="Segoe UI"/>
        <family val="2"/>
      </rPr>
      <t>/jour)</t>
    </r>
  </si>
  <si>
    <r>
      <t>Hin</t>
    </r>
    <r>
      <rPr>
        <b/>
        <sz val="10.5"/>
        <color rgb="FF000000"/>
        <rFont val="Segoe UI"/>
        <family val="2"/>
      </rPr>
      <t>: Irradiation sur le plan incliné choisi (kWh/m</t>
    </r>
    <r>
      <rPr>
        <b/>
        <vertAlign val="superscript"/>
        <sz val="10.5"/>
        <color rgb="FF000000"/>
        <rFont val="Segoe UI"/>
        <family val="2"/>
      </rPr>
      <t>2</t>
    </r>
    <r>
      <rPr>
        <b/>
        <sz val="10.5"/>
        <color rgb="FF000000"/>
        <rFont val="Segoe UI"/>
        <family val="2"/>
      </rPr>
      <t>/jour)</t>
    </r>
  </si>
  <si>
    <r>
      <rPr>
        <b/>
        <i/>
        <sz val="10.5"/>
        <color theme="1"/>
        <rFont val="Segoe UI"/>
        <family val="2"/>
      </rPr>
      <t>Iopt</t>
    </r>
    <r>
      <rPr>
        <b/>
        <sz val="10.5"/>
        <color theme="1"/>
        <rFont val="Segoe UI"/>
        <family val="2"/>
      </rPr>
      <t>: Inclinaison optimale (deg.)</t>
    </r>
  </si>
  <si>
    <r>
      <t>H</t>
    </r>
    <r>
      <rPr>
        <i/>
        <vertAlign val="subscript"/>
        <sz val="12"/>
        <color theme="1"/>
        <rFont val="Segoe UI"/>
        <family val="2"/>
      </rPr>
      <t>h</t>
    </r>
  </si>
  <si>
    <r>
      <t>H</t>
    </r>
    <r>
      <rPr>
        <i/>
        <vertAlign val="subscript"/>
        <sz val="12"/>
        <color theme="1"/>
        <rFont val="Segoe UI"/>
        <family val="2"/>
      </rPr>
      <t>opt</t>
    </r>
  </si>
  <si>
    <r>
      <t>I</t>
    </r>
    <r>
      <rPr>
        <i/>
        <vertAlign val="subscript"/>
        <sz val="12"/>
        <color theme="1"/>
        <rFont val="Segoe UI"/>
        <family val="2"/>
      </rPr>
      <t xml:space="preserve">opt  </t>
    </r>
  </si>
  <si>
    <t xml:space="preserve">   </t>
  </si>
  <si>
    <t>amelie</t>
  </si>
  <si>
    <t>Appariel en mode veille</t>
  </si>
  <si>
    <t>Entrer L'inclinaison (°) du plan capteur choisi :</t>
  </si>
  <si>
    <t>Total HT</t>
  </si>
  <si>
    <t>Total TTC</t>
  </si>
  <si>
    <t>Transport</t>
  </si>
  <si>
    <t>Main d'œuvre</t>
  </si>
  <si>
    <t>Dépenses supplémentaires</t>
  </si>
  <si>
    <r>
      <t>TVA (entrer la valeur de tva =</t>
    </r>
    <r>
      <rPr>
        <sz val="12"/>
        <color theme="1"/>
        <rFont val="Calibri"/>
        <family val="2"/>
      </rPr>
      <t>&gt;</t>
    </r>
  </si>
  <si>
    <r>
      <t>Autres taxes (entrer la valeur =</t>
    </r>
    <r>
      <rPr>
        <sz val="12"/>
        <color theme="1"/>
        <rFont val="Calibri"/>
        <family val="2"/>
      </rPr>
      <t>&gt;</t>
    </r>
  </si>
  <si>
    <t xml:space="preserve">TOTAUX </t>
  </si>
  <si>
    <t>h/j</t>
  </si>
  <si>
    <t>Puissance des charges :</t>
  </si>
  <si>
    <t>kW</t>
  </si>
  <si>
    <t>120°C</t>
  </si>
  <si>
    <t>90°C</t>
  </si>
  <si>
    <t>Section de cable</t>
  </si>
  <si>
    <t>COTE CHAMP</t>
  </si>
  <si>
    <t>Dispositif de protection utilisé :</t>
  </si>
  <si>
    <t>Estimation de Protection contre surintensité et Section de câble entre Panneau(x) et boîte de jonction</t>
  </si>
  <si>
    <t>Courant assigné de la protection :</t>
  </si>
  <si>
    <t>Tension assigné de la protection :</t>
  </si>
  <si>
    <r>
      <rPr>
        <sz val="14"/>
        <color theme="1"/>
        <rFont val="Calibri"/>
        <family val="2"/>
      </rPr>
      <t>≤</t>
    </r>
    <r>
      <rPr>
        <sz val="12"/>
        <color theme="1"/>
        <rFont val="Calibri"/>
        <family val="2"/>
      </rPr>
      <t xml:space="preserve"> </t>
    </r>
    <r>
      <rPr>
        <sz val="14"/>
        <color theme="1"/>
        <rFont val="Calibri"/>
        <family val="2"/>
      </rPr>
      <t>l</t>
    </r>
    <r>
      <rPr>
        <sz val="10"/>
        <color theme="1"/>
        <rFont val="Calibri"/>
        <family val="2"/>
      </rPr>
      <t xml:space="preserve">N </t>
    </r>
    <r>
      <rPr>
        <sz val="14"/>
        <color theme="1"/>
        <rFont val="Calibri"/>
        <family val="2"/>
      </rPr>
      <t>(A)</t>
    </r>
    <r>
      <rPr>
        <sz val="12"/>
        <color theme="1"/>
        <rFont val="Calibri"/>
        <family val="2"/>
      </rPr>
      <t xml:space="preserve"> </t>
    </r>
    <r>
      <rPr>
        <sz val="14"/>
        <color theme="1"/>
        <rFont val="Calibri"/>
        <family val="2"/>
      </rPr>
      <t>≤</t>
    </r>
  </si>
  <si>
    <r>
      <t>Courant d'emploi du câble l</t>
    </r>
    <r>
      <rPr>
        <sz val="10"/>
        <color theme="1"/>
        <rFont val="Segoe UI"/>
        <family val="2"/>
      </rPr>
      <t>B</t>
    </r>
    <r>
      <rPr>
        <sz val="12"/>
        <color theme="1"/>
        <rFont val="Segoe UI"/>
        <family val="2"/>
      </rPr>
      <t xml:space="preserve"> :</t>
    </r>
  </si>
  <si>
    <r>
      <rPr>
        <sz val="14"/>
        <color theme="1"/>
        <rFont val="Segoe UI"/>
        <family val="2"/>
      </rPr>
      <t>U</t>
    </r>
    <r>
      <rPr>
        <sz val="10"/>
        <color theme="1"/>
        <rFont val="Segoe UI"/>
        <family val="2"/>
      </rPr>
      <t xml:space="preserve">N </t>
    </r>
    <r>
      <rPr>
        <sz val="14"/>
        <color theme="1"/>
        <rFont val="Segoe UI"/>
        <family val="2"/>
      </rPr>
      <t>(V)</t>
    </r>
    <r>
      <rPr>
        <sz val="12"/>
        <color theme="1"/>
        <rFont val="Segoe UI"/>
        <family val="2"/>
      </rPr>
      <t xml:space="preserve"> </t>
    </r>
    <r>
      <rPr>
        <sz val="14"/>
        <color theme="1"/>
        <rFont val="Calibri"/>
        <family val="2"/>
      </rPr>
      <t>≥</t>
    </r>
  </si>
  <si>
    <t>Choix de la tempéarture max de fonctionnement :</t>
  </si>
  <si>
    <t>Entrer le courant assigné validé standard respectant la condition précédente :</t>
  </si>
  <si>
    <t>Protection utilisé</t>
  </si>
  <si>
    <t>Intensité admissible de la protection:</t>
  </si>
  <si>
    <r>
      <rPr>
        <sz val="14"/>
        <color theme="1"/>
        <rFont val="Calibri"/>
        <family val="2"/>
      </rPr>
      <t>l</t>
    </r>
    <r>
      <rPr>
        <sz val="10"/>
        <color theme="1"/>
        <rFont val="Calibri"/>
        <family val="2"/>
      </rPr>
      <t xml:space="preserve">N </t>
    </r>
    <r>
      <rPr>
        <sz val="14"/>
        <color theme="1"/>
        <rFont val="Calibri"/>
        <family val="2"/>
      </rPr>
      <t>(A)</t>
    </r>
    <r>
      <rPr>
        <sz val="12"/>
        <color theme="1"/>
        <rFont val="Calibri"/>
        <family val="2"/>
      </rPr>
      <t xml:space="preserve"> </t>
    </r>
    <r>
      <rPr>
        <sz val="14"/>
        <color theme="1"/>
        <rFont val="Calibri"/>
        <family val="2"/>
      </rPr>
      <t>≤</t>
    </r>
  </si>
  <si>
    <t>Entrer la longueur estimée entre BJ et Régulateur :</t>
  </si>
  <si>
    <t>Estimation de Protection contre surintensité et Section de câble entre Boîte de jonction (BJ) et Régulateur</t>
  </si>
  <si>
    <t>Connectique côté générateur PV</t>
  </si>
  <si>
    <r>
      <t>Courant d'emploi I</t>
    </r>
    <r>
      <rPr>
        <sz val="10"/>
        <color theme="1"/>
        <rFont val="Segeo ui"/>
      </rPr>
      <t>B</t>
    </r>
    <r>
      <rPr>
        <sz val="12"/>
        <color theme="1"/>
        <rFont val="Segeo ui"/>
      </rPr>
      <t xml:space="preserve"> :</t>
    </r>
  </si>
  <si>
    <r>
      <t xml:space="preserve">Caractéristique des câbles utilisés </t>
    </r>
    <r>
      <rPr>
        <b/>
        <sz val="10"/>
        <color theme="1"/>
        <rFont val="Segoe UI"/>
        <family val="2"/>
      </rPr>
      <t>=&gt;</t>
    </r>
    <r>
      <rPr>
        <b/>
        <i/>
        <sz val="10"/>
        <color theme="1"/>
        <rFont val="Segoe UI"/>
        <family val="2"/>
      </rPr>
      <t xml:space="preserve"> </t>
    </r>
  </si>
  <si>
    <t xml:space="preserve">Caractéristique des câbles utilisés =&gt; </t>
  </si>
  <si>
    <t>Page 1/2</t>
  </si>
  <si>
    <t>Page 2/2</t>
  </si>
  <si>
    <t>Equipement</t>
  </si>
  <si>
    <t>Qté</t>
  </si>
  <si>
    <t>Puisance nominale (W)</t>
  </si>
  <si>
    <t>Puissance Total (kW)</t>
  </si>
  <si>
    <t>Energie consommée (kWh/j)</t>
  </si>
  <si>
    <t xml:space="preserve">Temps d'utilisation (h) </t>
  </si>
  <si>
    <t>en journée</t>
  </si>
  <si>
    <t>La nuit</t>
  </si>
  <si>
    <t>ECLAIRAGE</t>
  </si>
  <si>
    <t>Total</t>
  </si>
  <si>
    <t>EQUIPEMENTS FORTE PUISSANCE</t>
  </si>
  <si>
    <t>EQUIPEMENTS FAIBLE PUISSANCE</t>
  </si>
  <si>
    <t>RECAPITULATIF DU BILAN DE PUISSANCE</t>
  </si>
  <si>
    <r>
      <t>E</t>
    </r>
    <r>
      <rPr>
        <b/>
        <vertAlign val="subscript"/>
        <sz val="11"/>
        <color theme="1"/>
        <rFont val="Calibri"/>
        <family val="2"/>
        <scheme val="minor"/>
      </rPr>
      <t>d</t>
    </r>
  </si>
  <si>
    <r>
      <t>E</t>
    </r>
    <r>
      <rPr>
        <b/>
        <vertAlign val="subscript"/>
        <sz val="11"/>
        <color theme="1"/>
        <rFont val="Calibri"/>
        <family val="2"/>
        <scheme val="minor"/>
      </rPr>
      <t>m</t>
    </r>
  </si>
  <si>
    <r>
      <t>H</t>
    </r>
    <r>
      <rPr>
        <b/>
        <vertAlign val="subscript"/>
        <sz val="11"/>
        <color theme="1"/>
        <rFont val="Calibri"/>
        <family val="2"/>
        <scheme val="minor"/>
      </rPr>
      <t>d</t>
    </r>
  </si>
  <si>
    <r>
      <t>H</t>
    </r>
    <r>
      <rPr>
        <b/>
        <vertAlign val="subscript"/>
        <sz val="11"/>
        <color theme="1"/>
        <rFont val="Calibri"/>
        <family val="2"/>
        <scheme val="minor"/>
      </rPr>
      <t>m</t>
    </r>
  </si>
  <si>
    <t>4.44</t>
  </si>
  <si>
    <t>4.16</t>
  </si>
  <si>
    <t>4.30</t>
  </si>
  <si>
    <t>3.78</t>
  </si>
  <si>
    <t>3.62</t>
  </si>
  <si>
    <t>3.15</t>
  </si>
  <si>
    <t>94.5</t>
  </si>
  <si>
    <t>2.84</t>
  </si>
  <si>
    <t>88.1</t>
  </si>
  <si>
    <t>2.87</t>
  </si>
  <si>
    <t>89.0</t>
  </si>
  <si>
    <t>3.43</t>
  </si>
  <si>
    <t>3.38</t>
  </si>
  <si>
    <t>3.61</t>
  </si>
  <si>
    <t>4.27</t>
  </si>
  <si>
    <t xml:space="preserve">Moyenne annuelle </t>
  </si>
  <si>
    <t xml:space="preserve">3.65 </t>
  </si>
  <si>
    <t xml:space="preserve">5.05 </t>
  </si>
  <si>
    <t>Total pour l'année</t>
  </si>
  <si>
    <t>PS</t>
  </si>
  <si>
    <t>pasamek@yahoo.fr</t>
  </si>
  <si>
    <t>cameroun</t>
  </si>
  <si>
    <t>yaoundé</t>
  </si>
  <si>
    <t>BP8390</t>
  </si>
  <si>
    <t>SALLE DE PROF/MSP</t>
  </si>
  <si>
    <t>Autre (précisé):</t>
  </si>
  <si>
    <t>10°</t>
  </si>
  <si>
    <t>45°</t>
  </si>
  <si>
    <t>Nauvaise</t>
  </si>
  <si>
    <t>LAMPES</t>
  </si>
  <si>
    <t>REFRIGERATEUR</t>
  </si>
  <si>
    <t>PRISES</t>
  </si>
  <si>
    <t>Intégré au toit avec présence du MPPT</t>
  </si>
  <si>
    <t>OPzV</t>
  </si>
  <si>
    <t>Polycristallin</t>
  </si>
  <si>
    <t>PNW</t>
  </si>
  <si>
    <t>Entre 69 et 65</t>
  </si>
  <si>
    <t>REGULAT</t>
  </si>
</sst>
</file>

<file path=xl/styles.xml><?xml version="1.0" encoding="utf-8"?>
<styleSheet xmlns="http://schemas.openxmlformats.org/spreadsheetml/2006/main">
  <fonts count="56">
    <font>
      <sz val="11"/>
      <color theme="1"/>
      <name val="Calibri"/>
      <family val="2"/>
      <scheme val="minor"/>
    </font>
    <font>
      <b/>
      <sz val="11"/>
      <color theme="1"/>
      <name val="Calibri"/>
      <family val="2"/>
      <scheme val="minor"/>
    </font>
    <font>
      <sz val="11"/>
      <color theme="1"/>
      <name val="Times New Roman"/>
      <family val="1"/>
    </font>
    <font>
      <sz val="12"/>
      <color theme="1"/>
      <name val="Calibri"/>
      <family val="2"/>
      <scheme val="minor"/>
    </font>
    <font>
      <sz val="12"/>
      <color theme="1"/>
      <name val="Times New Roman"/>
      <family val="1"/>
    </font>
    <font>
      <b/>
      <sz val="15"/>
      <color theme="3"/>
      <name val="Calibri"/>
      <family val="2"/>
      <scheme val="minor"/>
    </font>
    <font>
      <b/>
      <i/>
      <sz val="11"/>
      <color theme="1"/>
      <name val="Calibri"/>
      <family val="2"/>
      <scheme val="minor"/>
    </font>
    <font>
      <b/>
      <sz val="11"/>
      <name val="Calibri"/>
      <family val="2"/>
      <scheme val="minor"/>
    </font>
    <font>
      <b/>
      <i/>
      <sz val="11"/>
      <name val="Calibri"/>
      <family val="2"/>
      <scheme val="minor"/>
    </font>
    <font>
      <b/>
      <u/>
      <sz val="12"/>
      <color theme="1"/>
      <name val="Times New Roman"/>
      <family val="1"/>
    </font>
    <font>
      <sz val="12"/>
      <name val="Times New Roman"/>
      <family val="1"/>
    </font>
    <font>
      <b/>
      <sz val="12"/>
      <name val="Times New Roman"/>
      <family val="1"/>
    </font>
    <font>
      <b/>
      <sz val="12"/>
      <color theme="1"/>
      <name val="Segoe UI"/>
      <family val="2"/>
    </font>
    <font>
      <sz val="11"/>
      <color theme="1"/>
      <name val="Segoe UI"/>
      <family val="2"/>
    </font>
    <font>
      <sz val="12"/>
      <color theme="1"/>
      <name val="Segoe UI"/>
      <family val="2"/>
    </font>
    <font>
      <sz val="12"/>
      <name val="Segoe UI"/>
      <family val="2"/>
    </font>
    <font>
      <b/>
      <sz val="12"/>
      <name val="Segoe UI"/>
      <family val="2"/>
    </font>
    <font>
      <sz val="10"/>
      <color theme="1"/>
      <name val="Segoe UI"/>
      <family val="2"/>
    </font>
    <font>
      <sz val="10"/>
      <name val="Segoe UI"/>
      <family val="2"/>
    </font>
    <font>
      <sz val="11"/>
      <name val="Segoe UI"/>
      <family val="2"/>
    </font>
    <font>
      <b/>
      <sz val="11"/>
      <name val="Segoe UI"/>
      <family val="2"/>
    </font>
    <font>
      <b/>
      <sz val="11"/>
      <color theme="1"/>
      <name val="Segoe UI"/>
      <family val="2"/>
    </font>
    <font>
      <b/>
      <sz val="10"/>
      <color theme="1"/>
      <name val="Segoe UI"/>
      <family val="2"/>
    </font>
    <font>
      <b/>
      <u/>
      <sz val="12"/>
      <color theme="1"/>
      <name val="Segoe UI"/>
      <family val="2"/>
    </font>
    <font>
      <b/>
      <sz val="12"/>
      <color theme="1"/>
      <name val="Segeo ui"/>
    </font>
    <font>
      <b/>
      <i/>
      <sz val="11"/>
      <color theme="1"/>
      <name val="Segoe UI"/>
      <family val="2"/>
    </font>
    <font>
      <b/>
      <i/>
      <sz val="12"/>
      <color theme="1"/>
      <name val="Segoe UI"/>
      <family val="2"/>
    </font>
    <font>
      <b/>
      <i/>
      <sz val="10"/>
      <name val="Segoe UI"/>
      <family val="2"/>
    </font>
    <font>
      <b/>
      <sz val="11"/>
      <color theme="1"/>
      <name val="Segeo ui"/>
    </font>
    <font>
      <sz val="12"/>
      <color theme="1"/>
      <name val="Segeo ui"/>
    </font>
    <font>
      <sz val="10"/>
      <color theme="1"/>
      <name val="Segeo ui"/>
    </font>
    <font>
      <b/>
      <sz val="14"/>
      <color theme="1"/>
      <name val="Segoe UI"/>
      <family val="2"/>
    </font>
    <font>
      <b/>
      <sz val="14"/>
      <color theme="1"/>
      <name val="Segeo ui"/>
    </font>
    <font>
      <sz val="11"/>
      <name val="Calibri"/>
      <family val="2"/>
      <scheme val="minor"/>
    </font>
    <font>
      <sz val="9"/>
      <color theme="1"/>
      <name val="Segoe UI"/>
      <family val="2"/>
    </font>
    <font>
      <b/>
      <i/>
      <sz val="12"/>
      <color theme="1"/>
      <name val="Segeo ui"/>
    </font>
    <font>
      <b/>
      <i/>
      <sz val="10"/>
      <color theme="1"/>
      <name val="Segoe UI"/>
      <family val="2"/>
    </font>
    <font>
      <b/>
      <i/>
      <vertAlign val="subscript"/>
      <sz val="12"/>
      <color theme="1"/>
      <name val="Segoe UI"/>
      <family val="2"/>
    </font>
    <font>
      <i/>
      <sz val="12"/>
      <color theme="1"/>
      <name val="Segoe UI"/>
      <family val="2"/>
    </font>
    <font>
      <b/>
      <sz val="10.5"/>
      <color theme="1"/>
      <name val="Segoe UI"/>
      <family val="2"/>
    </font>
    <font>
      <b/>
      <i/>
      <sz val="10.5"/>
      <color rgb="FF000000"/>
      <name val="Segoe UI"/>
      <family val="2"/>
    </font>
    <font>
      <b/>
      <i/>
      <vertAlign val="subscript"/>
      <sz val="10.5"/>
      <color rgb="FF000000"/>
      <name val="Segoe UI"/>
      <family val="2"/>
    </font>
    <font>
      <b/>
      <sz val="10.5"/>
      <color rgb="FF000000"/>
      <name val="Segoe UI"/>
      <family val="2"/>
    </font>
    <font>
      <b/>
      <vertAlign val="superscript"/>
      <sz val="10.5"/>
      <color rgb="FF000000"/>
      <name val="Segoe UI"/>
      <family val="2"/>
    </font>
    <font>
      <b/>
      <i/>
      <sz val="10.5"/>
      <color theme="1"/>
      <name val="Segoe UI"/>
      <family val="2"/>
    </font>
    <font>
      <i/>
      <vertAlign val="subscript"/>
      <sz val="12"/>
      <color theme="1"/>
      <name val="Segoe UI"/>
      <family val="2"/>
    </font>
    <font>
      <sz val="11"/>
      <color theme="1"/>
      <name val="Calibri"/>
      <family val="2"/>
      <scheme val="minor"/>
    </font>
    <font>
      <sz val="12"/>
      <color theme="1"/>
      <name val="Calibri"/>
      <family val="2"/>
    </font>
    <font>
      <sz val="10"/>
      <color theme="1"/>
      <name val="Calibri"/>
      <family val="2"/>
    </font>
    <font>
      <sz val="14"/>
      <color theme="1"/>
      <name val="Calibri"/>
      <family val="2"/>
    </font>
    <font>
      <sz val="14"/>
      <color theme="1"/>
      <name val="Segoe UI"/>
      <family val="2"/>
    </font>
    <font>
      <sz val="12"/>
      <color rgb="FFFF0000"/>
      <name val="Segoe UI"/>
      <family val="2"/>
    </font>
    <font>
      <sz val="8"/>
      <color rgb="FFFF0000"/>
      <name val="Segoe UI"/>
      <family val="2"/>
    </font>
    <font>
      <sz val="9"/>
      <color rgb="FFFF0000"/>
      <name val="Segoe UI"/>
      <family val="2"/>
    </font>
    <font>
      <sz val="8"/>
      <color rgb="FF0070C0"/>
      <name val="Segoe UI"/>
      <family val="2"/>
    </font>
    <font>
      <b/>
      <vertAlign val="subscript"/>
      <sz val="11"/>
      <color theme="1"/>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rgb="FF00B0F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rgb="FFFFFF66"/>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theme="9" tint="0.79998168889431442"/>
        <bgColor indexed="64"/>
      </patternFill>
    </fill>
  </fills>
  <borders count="31">
    <border>
      <left/>
      <right/>
      <top/>
      <bottom/>
      <diagonal/>
    </border>
    <border>
      <left/>
      <right/>
      <top/>
      <bottom style="thin">
        <color indexed="64"/>
      </bottom>
      <diagonal/>
    </border>
    <border>
      <left style="medium">
        <color indexed="64"/>
      </left>
      <right/>
      <top/>
      <bottom/>
      <diagonal/>
    </border>
    <border>
      <left/>
      <right/>
      <top style="thin">
        <color indexed="64"/>
      </top>
      <bottom/>
      <diagonal/>
    </border>
    <border>
      <left/>
      <right/>
      <top/>
      <bottom style="thick">
        <color theme="4"/>
      </bottom>
      <diagonal/>
    </border>
    <border>
      <left/>
      <right/>
      <top/>
      <bottom style="thin">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5" tint="0.59999389629810485"/>
      </left>
      <right style="thin">
        <color theme="5" tint="0.59999389629810485"/>
      </right>
      <top style="thin">
        <color theme="5" tint="0.59999389629810485"/>
      </top>
      <bottom style="thin">
        <color theme="5" tint="0.59999389629810485"/>
      </bottom>
      <diagonal/>
    </border>
    <border>
      <left style="thick">
        <color theme="3" tint="0.79998168889431442"/>
      </left>
      <right style="thick">
        <color theme="3" tint="0.79998168889431442"/>
      </right>
      <top style="thick">
        <color theme="3" tint="0.79998168889431442"/>
      </top>
      <bottom style="thick">
        <color theme="3" tint="0.79998168889431442"/>
      </bottom>
      <diagonal/>
    </border>
    <border>
      <left style="thin">
        <color theme="5" tint="0.59999389629810485"/>
      </left>
      <right/>
      <top style="thin">
        <color theme="5" tint="0.59999389629810485"/>
      </top>
      <bottom style="thin">
        <color theme="5" tint="0.59999389629810485"/>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top style="thin">
        <color rgb="FF000000"/>
      </top>
      <bottom style="thin">
        <color rgb="FF000000"/>
      </bottom>
      <diagonal/>
    </border>
  </borders>
  <cellStyleXfs count="3">
    <xf numFmtId="0" fontId="0" fillId="0" borderId="0"/>
    <xf numFmtId="0" fontId="5" fillId="0" borderId="4" applyNumberFormat="0" applyFill="0" applyAlignment="0" applyProtection="0"/>
    <xf numFmtId="9" fontId="46" fillId="0" borderId="0" applyFont="0" applyFill="0" applyBorder="0" applyAlignment="0" applyProtection="0"/>
  </cellStyleXfs>
  <cellXfs count="453">
    <xf numFmtId="0" fontId="0" fillId="0" borderId="0" xfId="0"/>
    <xf numFmtId="0" fontId="1" fillId="2" borderId="2" xfId="0" applyFont="1" applyFill="1" applyBorder="1" applyProtection="1"/>
    <xf numFmtId="0" fontId="1" fillId="2" borderId="0" xfId="0" applyFont="1" applyFill="1" applyBorder="1" applyAlignment="1" applyProtection="1">
      <alignment horizontal="center"/>
    </xf>
    <xf numFmtId="0" fontId="2" fillId="2" borderId="0" xfId="0" applyFont="1" applyFill="1" applyProtection="1"/>
    <xf numFmtId="0" fontId="3" fillId="2" borderId="0" xfId="0" applyFont="1" applyFill="1" applyProtection="1"/>
    <xf numFmtId="0" fontId="0" fillId="2" borderId="0" xfId="0" applyFill="1" applyProtection="1"/>
    <xf numFmtId="0" fontId="1" fillId="2" borderId="0" xfId="0" applyFont="1" applyFill="1" applyProtection="1"/>
    <xf numFmtId="0" fontId="4" fillId="2" borderId="0" xfId="0" applyFont="1" applyFill="1" applyProtection="1"/>
    <xf numFmtId="0" fontId="5" fillId="2" borderId="4" xfId="1" applyFont="1" applyFill="1" applyProtection="1"/>
    <xf numFmtId="0" fontId="0" fillId="2" borderId="5" xfId="0" applyFill="1" applyBorder="1" applyProtection="1"/>
    <xf numFmtId="0" fontId="6" fillId="2" borderId="0" xfId="0" applyFont="1" applyFill="1" applyProtection="1"/>
    <xf numFmtId="0" fontId="5" fillId="2" borderId="4" xfId="1" applyFill="1" applyProtection="1"/>
    <xf numFmtId="0" fontId="7" fillId="2" borderId="3" xfId="0" applyFont="1" applyFill="1" applyBorder="1" applyProtection="1"/>
    <xf numFmtId="0" fontId="8" fillId="2" borderId="0" xfId="0" applyFont="1" applyFill="1" applyBorder="1" applyProtection="1"/>
    <xf numFmtId="0" fontId="0" fillId="2" borderId="0" xfId="0" applyFill="1" applyAlignment="1" applyProtection="1">
      <alignment horizontal="center"/>
    </xf>
    <xf numFmtId="0" fontId="0" fillId="2" borderId="1" xfId="0" applyFill="1" applyBorder="1" applyProtection="1"/>
    <xf numFmtId="0" fontId="0" fillId="2" borderId="0" xfId="0" applyFill="1" applyBorder="1" applyAlignment="1" applyProtection="1">
      <alignment horizontal="center"/>
    </xf>
    <xf numFmtId="0" fontId="1" fillId="2" borderId="0" xfId="0" applyFont="1" applyFill="1" applyBorder="1" applyAlignment="1" applyProtection="1">
      <alignment horizontal="right"/>
    </xf>
    <xf numFmtId="0" fontId="1" fillId="2" borderId="3" xfId="0" applyFont="1" applyFill="1" applyBorder="1" applyAlignment="1" applyProtection="1">
      <alignment horizontal="right"/>
    </xf>
    <xf numFmtId="0" fontId="1" fillId="2" borderId="2" xfId="0" applyFont="1" applyFill="1" applyBorder="1" applyAlignment="1" applyProtection="1">
      <alignment horizontal="right"/>
    </xf>
    <xf numFmtId="0" fontId="1" fillId="2" borderId="0" xfId="0" applyFont="1" applyFill="1" applyAlignment="1" applyProtection="1">
      <alignment horizontal="right"/>
    </xf>
    <xf numFmtId="0" fontId="0" fillId="2" borderId="0" xfId="0" applyFill="1" applyAlignment="1" applyProtection="1">
      <alignment horizontal="right"/>
    </xf>
    <xf numFmtId="0" fontId="1" fillId="2" borderId="0" xfId="0" applyFont="1" applyFill="1" applyAlignment="1" applyProtection="1"/>
    <xf numFmtId="0" fontId="6" fillId="2" borderId="0" xfId="0" applyFont="1" applyFill="1" applyAlignment="1" applyProtection="1">
      <alignment horizontal="right"/>
    </xf>
    <xf numFmtId="0" fontId="8" fillId="2" borderId="0" xfId="0" applyFont="1" applyFill="1" applyBorder="1" applyAlignment="1" applyProtection="1">
      <alignment horizontal="right"/>
    </xf>
    <xf numFmtId="0" fontId="4" fillId="3" borderId="0" xfId="0" applyFont="1" applyFill="1" applyProtection="1"/>
    <xf numFmtId="0" fontId="4" fillId="3" borderId="0" xfId="0" applyFont="1" applyFill="1" applyAlignment="1" applyProtection="1">
      <alignment horizontal="right"/>
    </xf>
    <xf numFmtId="0" fontId="4" fillId="0" borderId="0" xfId="0" applyFont="1"/>
    <xf numFmtId="0" fontId="4" fillId="8" borderId="0" xfId="0" applyFont="1" applyFill="1"/>
    <xf numFmtId="0" fontId="4" fillId="9" borderId="0" xfId="0" applyFont="1" applyFill="1"/>
    <xf numFmtId="0" fontId="0" fillId="10" borderId="0" xfId="0" applyFill="1"/>
    <xf numFmtId="0" fontId="4" fillId="0" borderId="0" xfId="0" applyFont="1" applyFill="1"/>
    <xf numFmtId="0" fontId="4" fillId="0" borderId="0" xfId="0" applyFont="1" applyFill="1" applyBorder="1"/>
    <xf numFmtId="0" fontId="4" fillId="0" borderId="0" xfId="0" applyFont="1" applyFill="1" applyProtection="1"/>
    <xf numFmtId="0" fontId="4" fillId="11" borderId="0" xfId="0" applyFont="1" applyFill="1" applyProtection="1"/>
    <xf numFmtId="0" fontId="4" fillId="11" borderId="1" xfId="0" applyFont="1" applyFill="1" applyBorder="1" applyProtection="1"/>
    <xf numFmtId="0" fontId="10" fillId="0" borderId="0" xfId="0" applyFont="1" applyFill="1" applyBorder="1"/>
    <xf numFmtId="0" fontId="11" fillId="0" borderId="0" xfId="0" applyFont="1" applyFill="1" applyBorder="1" applyAlignment="1">
      <alignment horizontal="center"/>
    </xf>
    <xf numFmtId="0" fontId="11" fillId="0" borderId="0" xfId="0" applyFont="1" applyFill="1" applyBorder="1" applyAlignment="1">
      <alignment horizontal="right"/>
    </xf>
    <xf numFmtId="0" fontId="4" fillId="8" borderId="0" xfId="0" applyFont="1" applyFill="1"/>
    <xf numFmtId="0" fontId="14" fillId="0" borderId="0" xfId="0" applyFont="1" applyFill="1" applyBorder="1"/>
    <xf numFmtId="0" fontId="21" fillId="0" borderId="0" xfId="0" applyFont="1" applyFill="1" applyBorder="1" applyAlignment="1"/>
    <xf numFmtId="0" fontId="13" fillId="0" borderId="0" xfId="0" applyFont="1" applyAlignment="1"/>
    <xf numFmtId="0" fontId="22" fillId="0" borderId="6" xfId="0" applyFont="1" applyFill="1" applyBorder="1" applyProtection="1">
      <protection locked="0"/>
    </xf>
    <xf numFmtId="0" fontId="22" fillId="0" borderId="6" xfId="0" applyFont="1" applyFill="1" applyBorder="1" applyAlignment="1" applyProtection="1">
      <alignment horizontal="left"/>
      <protection locked="0"/>
    </xf>
    <xf numFmtId="0" fontId="14" fillId="0" borderId="19" xfId="0" applyFont="1" applyFill="1" applyBorder="1" applyAlignment="1" applyProtection="1">
      <alignment horizontal="left"/>
    </xf>
    <xf numFmtId="0" fontId="14" fillId="0" borderId="19" xfId="0" applyFont="1" applyFill="1" applyBorder="1" applyAlignment="1" applyProtection="1">
      <alignment horizontal="center"/>
    </xf>
    <xf numFmtId="0" fontId="14" fillId="0" borderId="21" xfId="0" applyFont="1" applyFill="1" applyBorder="1" applyAlignment="1" applyProtection="1">
      <alignment horizontal="center"/>
    </xf>
    <xf numFmtId="0" fontId="14" fillId="0" borderId="20" xfId="0" applyFont="1" applyFill="1" applyBorder="1" applyAlignment="1" applyProtection="1">
      <alignment horizontal="center"/>
    </xf>
    <xf numFmtId="0" fontId="14" fillId="0" borderId="19" xfId="0" applyFont="1" applyFill="1" applyBorder="1" applyProtection="1"/>
    <xf numFmtId="0" fontId="14" fillId="0" borderId="21" xfId="0" applyFont="1" applyFill="1" applyBorder="1" applyProtection="1"/>
    <xf numFmtId="0" fontId="14" fillId="0" borderId="20" xfId="0" applyFont="1" applyFill="1" applyBorder="1" applyProtection="1"/>
    <xf numFmtId="0" fontId="23" fillId="11" borderId="0" xfId="0" applyFont="1" applyFill="1" applyAlignment="1" applyProtection="1">
      <alignment horizontal="right"/>
    </xf>
    <xf numFmtId="0" fontId="14" fillId="6" borderId="0" xfId="0" applyFont="1" applyFill="1" applyAlignment="1" applyProtection="1">
      <alignment horizontal="center"/>
    </xf>
    <xf numFmtId="0" fontId="12" fillId="6" borderId="0" xfId="0" applyFont="1" applyFill="1" applyAlignment="1" applyProtection="1">
      <alignment horizontal="center"/>
    </xf>
    <xf numFmtId="0" fontId="24" fillId="3" borderId="0" xfId="0" applyFont="1" applyFill="1" applyProtection="1"/>
    <xf numFmtId="0" fontId="12" fillId="3" borderId="0" xfId="0" applyFont="1" applyFill="1" applyAlignment="1" applyProtection="1">
      <alignment horizontal="center"/>
    </xf>
    <xf numFmtId="0" fontId="14" fillId="0" borderId="10" xfId="0" applyFont="1" applyBorder="1" applyProtection="1">
      <protection locked="0"/>
    </xf>
    <xf numFmtId="0" fontId="14" fillId="0" borderId="10" xfId="0"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0" borderId="6" xfId="0" applyFont="1" applyBorder="1" applyAlignment="1" applyProtection="1">
      <alignment horizontal="center"/>
      <protection locked="0"/>
    </xf>
    <xf numFmtId="0" fontId="14" fillId="0" borderId="6" xfId="0" applyFont="1" applyBorder="1" applyProtection="1">
      <protection locked="0"/>
    </xf>
    <xf numFmtId="0" fontId="12" fillId="5" borderId="0" xfId="0" applyFont="1" applyFill="1" applyAlignment="1" applyProtection="1">
      <alignment horizontal="center"/>
    </xf>
    <xf numFmtId="0" fontId="12" fillId="3" borderId="0" xfId="0" applyFont="1" applyFill="1" applyProtection="1"/>
    <xf numFmtId="0" fontId="14" fillId="3" borderId="0" xfId="0" applyFont="1" applyFill="1" applyProtection="1"/>
    <xf numFmtId="0" fontId="14" fillId="0" borderId="12" xfId="0" applyFont="1" applyBorder="1" applyProtection="1">
      <protection locked="0"/>
    </xf>
    <xf numFmtId="0" fontId="14" fillId="0" borderId="12" xfId="0" applyFont="1" applyBorder="1" applyAlignment="1" applyProtection="1">
      <alignment horizontal="center"/>
      <protection locked="0"/>
    </xf>
    <xf numFmtId="0" fontId="12" fillId="7" borderId="0" xfId="0" applyFont="1" applyFill="1" applyAlignment="1" applyProtection="1">
      <alignment horizontal="center"/>
    </xf>
    <xf numFmtId="0" fontId="12" fillId="3" borderId="0" xfId="0" applyFont="1" applyFill="1" applyAlignment="1" applyProtection="1">
      <alignment horizontal="left"/>
    </xf>
    <xf numFmtId="0" fontId="12" fillId="4" borderId="0" xfId="0" applyFont="1" applyFill="1" applyAlignment="1" applyProtection="1">
      <alignment horizontal="center" vertical="center"/>
    </xf>
    <xf numFmtId="0" fontId="12" fillId="4" borderId="0" xfId="0" applyFont="1" applyFill="1" applyAlignment="1" applyProtection="1">
      <alignment horizontal="right"/>
    </xf>
    <xf numFmtId="0" fontId="12" fillId="4" borderId="0" xfId="0" applyFont="1" applyFill="1" applyAlignment="1" applyProtection="1">
      <alignment horizontal="left"/>
    </xf>
    <xf numFmtId="0" fontId="15" fillId="0" borderId="0" xfId="0" applyFont="1" applyFill="1" applyBorder="1"/>
    <xf numFmtId="0" fontId="16" fillId="0" borderId="0" xfId="0" applyFont="1" applyFill="1" applyBorder="1" applyAlignment="1">
      <alignment horizontal="center"/>
    </xf>
    <xf numFmtId="0" fontId="14" fillId="0" borderId="0" xfId="0" applyFont="1" applyFill="1" applyBorder="1" applyAlignment="1"/>
    <xf numFmtId="0" fontId="14" fillId="0" borderId="6" xfId="0" applyFont="1" applyFill="1" applyBorder="1" applyAlignment="1" applyProtection="1">
      <alignment horizontal="center"/>
      <protection locked="0"/>
    </xf>
    <xf numFmtId="0" fontId="24" fillId="0" borderId="6" xfId="0" applyFont="1" applyFill="1" applyBorder="1" applyAlignment="1" applyProtection="1">
      <alignment horizontal="center"/>
      <protection locked="0"/>
    </xf>
    <xf numFmtId="0" fontId="0" fillId="0" borderId="6" xfId="0" applyFill="1" applyBorder="1" applyAlignment="1" applyProtection="1">
      <alignment horizontal="center"/>
      <protection locked="0"/>
    </xf>
    <xf numFmtId="0" fontId="0" fillId="0" borderId="6" xfId="0" applyFill="1" applyBorder="1" applyProtection="1">
      <protection locked="0"/>
    </xf>
    <xf numFmtId="0" fontId="22" fillId="2" borderId="0" xfId="0" applyFont="1" applyFill="1" applyBorder="1" applyProtection="1"/>
    <xf numFmtId="0" fontId="4" fillId="2" borderId="0" xfId="0" applyFont="1" applyFill="1"/>
    <xf numFmtId="0" fontId="19" fillId="12" borderId="0" xfId="0" applyFont="1" applyFill="1"/>
    <xf numFmtId="0" fontId="10" fillId="12" borderId="0" xfId="0" applyFont="1" applyFill="1"/>
    <xf numFmtId="0" fontId="13" fillId="2" borderId="0" xfId="0" applyFont="1" applyFill="1"/>
    <xf numFmtId="0" fontId="10" fillId="12" borderId="0" xfId="0" applyFont="1" applyFill="1" applyBorder="1"/>
    <xf numFmtId="0" fontId="15" fillId="2" borderId="0" xfId="0" applyFont="1" applyFill="1" applyBorder="1"/>
    <xf numFmtId="0" fontId="16" fillId="2" borderId="0" xfId="0" applyFont="1" applyFill="1" applyBorder="1" applyAlignment="1">
      <alignment horizontal="center"/>
    </xf>
    <xf numFmtId="0" fontId="14" fillId="2" borderId="0" xfId="0" applyFont="1" applyFill="1" applyBorder="1"/>
    <xf numFmtId="0" fontId="15" fillId="12" borderId="0" xfId="0" applyFont="1" applyFill="1" applyBorder="1"/>
    <xf numFmtId="0" fontId="17" fillId="2" borderId="0" xfId="0" applyFont="1" applyFill="1" applyProtection="1"/>
    <xf numFmtId="0" fontId="17" fillId="2" borderId="0" xfId="0" applyFont="1" applyFill="1" applyAlignment="1" applyProtection="1">
      <alignment horizontal="right"/>
    </xf>
    <xf numFmtId="20" fontId="17" fillId="2" borderId="0" xfId="0" applyNumberFormat="1" applyFont="1" applyFill="1" applyProtection="1"/>
    <xf numFmtId="0" fontId="22" fillId="2" borderId="0" xfId="0" applyFont="1" applyFill="1" applyProtection="1"/>
    <xf numFmtId="0" fontId="22" fillId="2" borderId="0" xfId="0" applyFont="1" applyFill="1" applyAlignment="1" applyProtection="1">
      <alignment horizontal="right"/>
    </xf>
    <xf numFmtId="0" fontId="17" fillId="2" borderId="0" xfId="0" applyFont="1" applyFill="1" applyBorder="1" applyProtection="1"/>
    <xf numFmtId="0" fontId="20" fillId="12" borderId="0" xfId="0" applyFont="1" applyFill="1" applyAlignment="1" applyProtection="1">
      <alignment horizontal="center"/>
    </xf>
    <xf numFmtId="0" fontId="19" fillId="12" borderId="0" xfId="0" applyFont="1" applyFill="1" applyProtection="1"/>
    <xf numFmtId="0" fontId="13" fillId="2" borderId="0" xfId="0" applyFont="1" applyFill="1" applyProtection="1"/>
    <xf numFmtId="0" fontId="10" fillId="2" borderId="0" xfId="0" applyFont="1" applyFill="1" applyProtection="1"/>
    <xf numFmtId="0" fontId="16" fillId="14" borderId="0" xfId="0" applyFont="1" applyFill="1" applyBorder="1" applyAlignment="1" applyProtection="1"/>
    <xf numFmtId="0" fontId="19" fillId="6" borderId="0" xfId="0" applyFont="1" applyFill="1" applyBorder="1" applyAlignment="1" applyProtection="1">
      <alignment horizontal="right"/>
    </xf>
    <xf numFmtId="0" fontId="15" fillId="6" borderId="0" xfId="0" applyFont="1" applyFill="1" applyBorder="1" applyProtection="1"/>
    <xf numFmtId="0" fontId="10" fillId="14" borderId="0" xfId="0" applyFont="1" applyFill="1" applyBorder="1" applyProtection="1"/>
    <xf numFmtId="0" fontId="15" fillId="15" borderId="0" xfId="0" applyFont="1" applyFill="1" applyBorder="1" applyProtection="1"/>
    <xf numFmtId="0" fontId="16" fillId="15" borderId="0" xfId="0" applyFont="1" applyFill="1" applyBorder="1" applyAlignment="1" applyProtection="1">
      <alignment horizontal="left"/>
    </xf>
    <xf numFmtId="0" fontId="10" fillId="15" borderId="0" xfId="0" applyFont="1" applyFill="1" applyBorder="1" applyProtection="1"/>
    <xf numFmtId="0" fontId="20" fillId="6" borderId="0" xfId="0" applyFont="1" applyFill="1" applyBorder="1" applyAlignment="1" applyProtection="1">
      <alignment horizontal="left"/>
    </xf>
    <xf numFmtId="0" fontId="20" fillId="0" borderId="12" xfId="0" applyFont="1" applyFill="1" applyBorder="1" applyAlignment="1" applyProtection="1">
      <alignment horizontal="left"/>
      <protection locked="0"/>
    </xf>
    <xf numFmtId="0" fontId="20" fillId="0" borderId="6" xfId="0" applyFont="1" applyFill="1" applyBorder="1" applyAlignment="1" applyProtection="1">
      <alignment horizontal="left"/>
      <protection locked="0"/>
    </xf>
    <xf numFmtId="0" fontId="16" fillId="0" borderId="6" xfId="0" applyFont="1" applyFill="1" applyBorder="1" applyAlignment="1" applyProtection="1">
      <alignment horizontal="left"/>
      <protection locked="0"/>
    </xf>
    <xf numFmtId="0" fontId="21" fillId="2" borderId="0" xfId="0" applyFont="1" applyFill="1" applyBorder="1" applyProtection="1"/>
    <xf numFmtId="0" fontId="12" fillId="2" borderId="0" xfId="0" applyFont="1" applyFill="1" applyBorder="1" applyProtection="1"/>
    <xf numFmtId="0" fontId="14" fillId="2" borderId="0" xfId="0" applyFont="1" applyFill="1" applyBorder="1" applyAlignment="1" applyProtection="1">
      <alignment horizontal="left"/>
    </xf>
    <xf numFmtId="0" fontId="14" fillId="2" borderId="0" xfId="0" applyFont="1" applyFill="1" applyBorder="1" applyProtection="1"/>
    <xf numFmtId="0" fontId="4" fillId="12" borderId="0" xfId="0" applyFont="1" applyFill="1" applyBorder="1" applyProtection="1"/>
    <xf numFmtId="0" fontId="14" fillId="2" borderId="0" xfId="0" applyFont="1" applyFill="1" applyBorder="1" applyAlignment="1" applyProtection="1">
      <alignment horizontal="right"/>
    </xf>
    <xf numFmtId="0" fontId="14" fillId="12" borderId="0" xfId="0" applyFont="1" applyFill="1" applyBorder="1" applyProtection="1"/>
    <xf numFmtId="0" fontId="12" fillId="12" borderId="0" xfId="0" applyFont="1" applyFill="1" applyBorder="1" applyAlignment="1" applyProtection="1">
      <alignment horizontal="center"/>
    </xf>
    <xf numFmtId="0" fontId="14" fillId="2" borderId="0" xfId="0" applyFont="1" applyFill="1" applyBorder="1" applyAlignment="1" applyProtection="1"/>
    <xf numFmtId="0" fontId="14" fillId="12" borderId="0" xfId="0" applyFont="1" applyFill="1" applyBorder="1" applyAlignment="1" applyProtection="1"/>
    <xf numFmtId="0" fontId="4" fillId="12" borderId="0" xfId="0" applyFont="1" applyFill="1" applyProtection="1"/>
    <xf numFmtId="0" fontId="10" fillId="12" borderId="0" xfId="0" applyFont="1" applyFill="1" applyProtection="1"/>
    <xf numFmtId="0" fontId="15" fillId="12" borderId="0" xfId="0" applyFont="1" applyFill="1" applyBorder="1" applyProtection="1"/>
    <xf numFmtId="0" fontId="10" fillId="12" borderId="0" xfId="0" applyFont="1" applyFill="1" applyBorder="1" applyProtection="1"/>
    <xf numFmtId="0" fontId="12" fillId="2" borderId="0" xfId="0" applyFont="1" applyFill="1" applyBorder="1" applyAlignment="1" applyProtection="1">
      <alignment horizontal="center"/>
    </xf>
    <xf numFmtId="0" fontId="4" fillId="2" borderId="0" xfId="0" applyFont="1" applyFill="1" applyBorder="1" applyProtection="1"/>
    <xf numFmtId="0" fontId="14" fillId="14" borderId="0" xfId="0" applyFont="1" applyFill="1" applyBorder="1" applyProtection="1"/>
    <xf numFmtId="0" fontId="14" fillId="6" borderId="0" xfId="0" applyFont="1" applyFill="1" applyBorder="1" applyProtection="1"/>
    <xf numFmtId="0" fontId="12" fillId="14" borderId="0" xfId="0" applyFont="1" applyFill="1" applyBorder="1" applyAlignment="1" applyProtection="1">
      <alignment horizontal="center"/>
    </xf>
    <xf numFmtId="0" fontId="14" fillId="15" borderId="0" xfId="0" applyFont="1" applyFill="1" applyBorder="1" applyAlignment="1" applyProtection="1">
      <alignment horizontal="right"/>
    </xf>
    <xf numFmtId="0" fontId="14" fillId="15" borderId="0" xfId="0" applyFont="1" applyFill="1" applyBorder="1" applyProtection="1"/>
    <xf numFmtId="0" fontId="12" fillId="15" borderId="0" xfId="0" applyFont="1" applyFill="1" applyBorder="1" applyAlignment="1" applyProtection="1">
      <alignment horizontal="center"/>
    </xf>
    <xf numFmtId="0" fontId="12" fillId="0" borderId="6" xfId="0" applyFont="1" applyFill="1" applyBorder="1" applyAlignment="1" applyProtection="1">
      <alignment horizontal="center" vertical="center"/>
      <protection locked="0"/>
    </xf>
    <xf numFmtId="0" fontId="4" fillId="2" borderId="0" xfId="0" applyFont="1" applyFill="1" applyBorder="1" applyProtection="1">
      <protection locked="0"/>
    </xf>
    <xf numFmtId="0" fontId="12" fillId="0" borderId="6" xfId="0" applyFont="1" applyFill="1" applyBorder="1" applyAlignment="1" applyProtection="1">
      <alignment horizontal="center"/>
      <protection locked="0"/>
    </xf>
    <xf numFmtId="0" fontId="13" fillId="0" borderId="0" xfId="0" applyFont="1"/>
    <xf numFmtId="0" fontId="13" fillId="10" borderId="11" xfId="0" applyFont="1" applyFill="1" applyBorder="1"/>
    <xf numFmtId="0" fontId="13" fillId="10" borderId="3" xfId="0" applyFont="1" applyFill="1" applyBorder="1"/>
    <xf numFmtId="0" fontId="13" fillId="10" borderId="9" xfId="0" applyFont="1" applyFill="1" applyBorder="1"/>
    <xf numFmtId="0" fontId="13" fillId="10" borderId="14" xfId="0" applyFont="1" applyFill="1" applyBorder="1"/>
    <xf numFmtId="0" fontId="13" fillId="10" borderId="0" xfId="0" applyFont="1" applyFill="1" applyBorder="1"/>
    <xf numFmtId="0" fontId="13" fillId="10" borderId="15" xfId="0" applyFont="1" applyFill="1" applyBorder="1"/>
    <xf numFmtId="0" fontId="21" fillId="10" borderId="14" xfId="0" applyFont="1" applyFill="1" applyBorder="1" applyAlignment="1">
      <alignment horizontal="right"/>
    </xf>
    <xf numFmtId="0" fontId="13" fillId="10" borderId="0" xfId="0" applyFont="1" applyFill="1" applyBorder="1" applyAlignment="1">
      <alignment horizontal="right"/>
    </xf>
    <xf numFmtId="0" fontId="13" fillId="10" borderId="0" xfId="0" applyFont="1" applyFill="1" applyBorder="1" applyAlignment="1"/>
    <xf numFmtId="0" fontId="13" fillId="10" borderId="0" xfId="0" applyFont="1" applyFill="1" applyBorder="1" applyAlignment="1">
      <alignment horizontal="center"/>
    </xf>
    <xf numFmtId="0" fontId="13" fillId="10" borderId="1" xfId="0" applyFont="1" applyFill="1" applyBorder="1"/>
    <xf numFmtId="0" fontId="13" fillId="10" borderId="18" xfId="0" applyFont="1" applyFill="1" applyBorder="1"/>
    <xf numFmtId="0" fontId="13" fillId="10" borderId="1" xfId="0" applyFont="1" applyFill="1" applyBorder="1" applyAlignment="1">
      <alignment horizontal="center"/>
    </xf>
    <xf numFmtId="0" fontId="13" fillId="10" borderId="17" xfId="0" applyFont="1" applyFill="1" applyBorder="1"/>
    <xf numFmtId="0" fontId="21" fillId="10" borderId="14" xfId="0" applyFont="1" applyFill="1" applyBorder="1"/>
    <xf numFmtId="0" fontId="16" fillId="0" borderId="6" xfId="0" applyFont="1" applyFill="1" applyBorder="1" applyAlignment="1" applyProtection="1">
      <alignment horizontal="left"/>
      <protection locked="0"/>
    </xf>
    <xf numFmtId="0" fontId="13" fillId="10" borderId="0" xfId="0" applyFont="1" applyFill="1" applyBorder="1" applyAlignment="1">
      <alignment horizontal="right"/>
    </xf>
    <xf numFmtId="0" fontId="13" fillId="10" borderId="0" xfId="0" applyFont="1" applyFill="1" applyBorder="1" applyAlignment="1">
      <alignment horizontal="center"/>
    </xf>
    <xf numFmtId="0" fontId="13" fillId="10" borderId="0" xfId="0" applyFont="1" applyFill="1" applyBorder="1" applyAlignment="1">
      <alignment horizontal="left"/>
    </xf>
    <xf numFmtId="0" fontId="21" fillId="10" borderId="0" xfId="0" applyFont="1" applyFill="1" applyBorder="1" applyAlignment="1">
      <alignment horizontal="center"/>
    </xf>
    <xf numFmtId="0" fontId="21" fillId="10" borderId="14" xfId="0" applyFont="1" applyFill="1" applyBorder="1" applyAlignment="1">
      <alignment horizontal="center"/>
    </xf>
    <xf numFmtId="0" fontId="21" fillId="10" borderId="15" xfId="0" applyFont="1" applyFill="1" applyBorder="1" applyAlignment="1">
      <alignment horizontal="center"/>
    </xf>
    <xf numFmtId="0" fontId="14" fillId="0" borderId="0" xfId="0" applyFont="1" applyBorder="1" applyAlignment="1" applyProtection="1">
      <alignment horizontal="center"/>
    </xf>
    <xf numFmtId="0" fontId="12" fillId="14" borderId="0" xfId="0" applyFont="1" applyFill="1" applyAlignment="1">
      <alignment horizontal="right"/>
    </xf>
    <xf numFmtId="0" fontId="14" fillId="14" borderId="0" xfId="0" applyFont="1" applyFill="1" applyAlignment="1">
      <alignment horizontal="left"/>
    </xf>
    <xf numFmtId="0" fontId="14" fillId="14" borderId="0" xfId="0" applyFont="1" applyFill="1"/>
    <xf numFmtId="0" fontId="13" fillId="10" borderId="0" xfId="0" applyFont="1" applyFill="1" applyBorder="1" applyAlignment="1">
      <alignment horizontal="left"/>
    </xf>
    <xf numFmtId="0" fontId="21" fillId="10" borderId="0" xfId="0" applyFont="1" applyFill="1" applyBorder="1" applyAlignment="1">
      <alignment horizontal="right"/>
    </xf>
    <xf numFmtId="0" fontId="12" fillId="17" borderId="11" xfId="0" applyFont="1" applyFill="1" applyBorder="1" applyAlignment="1" applyProtection="1">
      <alignment horizontal="left" vertical="center" wrapText="1"/>
    </xf>
    <xf numFmtId="0" fontId="26" fillId="17" borderId="3" xfId="0" applyFont="1" applyFill="1" applyBorder="1" applyAlignment="1" applyProtection="1">
      <alignment horizontal="center" vertical="center" wrapText="1"/>
    </xf>
    <xf numFmtId="0" fontId="26" fillId="17" borderId="9" xfId="0" applyFont="1" applyFill="1" applyBorder="1" applyAlignment="1" applyProtection="1">
      <alignment horizontal="center" vertical="center" wrapText="1"/>
    </xf>
    <xf numFmtId="0" fontId="14" fillId="17" borderId="14" xfId="0" applyFont="1" applyFill="1" applyBorder="1" applyAlignment="1" applyProtection="1">
      <alignment horizontal="left" vertical="center" wrapText="1"/>
    </xf>
    <xf numFmtId="0" fontId="14" fillId="17" borderId="0" xfId="0" applyFont="1" applyFill="1" applyBorder="1" applyAlignment="1" applyProtection="1">
      <alignment horizontal="center" vertical="center" wrapText="1"/>
    </xf>
    <xf numFmtId="0" fontId="14" fillId="17" borderId="15" xfId="0" applyFont="1" applyFill="1" applyBorder="1" applyAlignment="1" applyProtection="1">
      <alignment horizontal="center" vertical="center" wrapText="1"/>
    </xf>
    <xf numFmtId="0" fontId="12" fillId="17" borderId="17" xfId="0" applyFont="1" applyFill="1" applyBorder="1" applyAlignment="1" applyProtection="1">
      <alignment horizontal="left" vertical="center" wrapText="1"/>
    </xf>
    <xf numFmtId="0" fontId="14" fillId="17" borderId="1" xfId="0" applyFont="1" applyFill="1" applyBorder="1" applyAlignment="1" applyProtection="1">
      <alignment horizontal="center" vertical="center" wrapText="1"/>
    </xf>
    <xf numFmtId="0" fontId="14" fillId="17" borderId="18" xfId="0" applyFont="1" applyFill="1" applyBorder="1" applyAlignment="1" applyProtection="1">
      <alignment horizontal="center" vertical="center" wrapText="1"/>
    </xf>
    <xf numFmtId="0" fontId="40" fillId="16" borderId="0" xfId="0" applyFont="1" applyFill="1" applyProtection="1"/>
    <xf numFmtId="0" fontId="39" fillId="16" borderId="0" xfId="0" applyFont="1" applyFill="1" applyProtection="1"/>
    <xf numFmtId="0" fontId="38" fillId="6" borderId="16" xfId="0" applyFont="1" applyFill="1" applyBorder="1" applyAlignment="1" applyProtection="1">
      <alignment horizontal="center" vertical="center" wrapText="1"/>
    </xf>
    <xf numFmtId="0" fontId="21" fillId="10" borderId="23" xfId="0" applyFont="1" applyFill="1" applyBorder="1" applyAlignment="1" applyProtection="1">
      <alignment horizontal="center" vertical="center" wrapText="1"/>
      <protection locked="0"/>
    </xf>
    <xf numFmtId="0" fontId="21" fillId="10" borderId="13" xfId="0" applyFont="1" applyFill="1" applyBorder="1" applyAlignment="1" applyProtection="1">
      <alignment horizontal="center" vertical="center" wrapText="1"/>
      <protection locked="0"/>
    </xf>
    <xf numFmtId="0" fontId="21" fillId="10" borderId="22" xfId="0" applyFont="1" applyFill="1" applyBorder="1" applyAlignment="1" applyProtection="1">
      <alignment horizontal="center" vertical="center" wrapText="1"/>
      <protection locked="0"/>
    </xf>
    <xf numFmtId="0" fontId="21" fillId="10" borderId="24" xfId="0" applyFont="1" applyFill="1" applyBorder="1" applyAlignment="1" applyProtection="1">
      <alignment horizontal="center" vertical="center" wrapText="1"/>
      <protection locked="0"/>
    </xf>
    <xf numFmtId="0" fontId="21" fillId="10" borderId="25" xfId="0" applyFont="1" applyFill="1" applyBorder="1" applyAlignment="1" applyProtection="1">
      <alignment horizontal="center" vertical="center" wrapText="1"/>
      <protection locked="0"/>
    </xf>
    <xf numFmtId="0" fontId="21" fillId="10" borderId="26" xfId="0" applyFont="1" applyFill="1" applyBorder="1" applyAlignment="1" applyProtection="1">
      <alignment horizontal="center" vertical="center" wrapText="1"/>
      <protection locked="0"/>
    </xf>
    <xf numFmtId="0" fontId="38" fillId="6" borderId="9" xfId="0" applyFont="1" applyFill="1" applyBorder="1" applyAlignment="1" applyProtection="1">
      <alignment horizontal="center" vertical="center" wrapText="1"/>
    </xf>
    <xf numFmtId="0" fontId="12" fillId="10" borderId="6" xfId="0" applyFont="1" applyFill="1" applyBorder="1" applyAlignment="1" applyProtection="1">
      <alignment horizontal="center" vertical="center" wrapText="1"/>
      <protection locked="0"/>
    </xf>
    <xf numFmtId="0" fontId="21" fillId="10" borderId="27" xfId="0" applyFont="1" applyFill="1" applyBorder="1" applyAlignment="1" applyProtection="1">
      <alignment horizontal="center" vertical="center" wrapText="1"/>
      <protection locked="0"/>
    </xf>
    <xf numFmtId="0" fontId="21" fillId="10" borderId="28" xfId="0" applyFont="1" applyFill="1" applyBorder="1" applyAlignment="1" applyProtection="1">
      <alignment horizontal="center" vertical="center" wrapText="1"/>
      <protection locked="0"/>
    </xf>
    <xf numFmtId="0" fontId="21" fillId="10" borderId="29" xfId="0" applyFont="1" applyFill="1" applyBorder="1" applyAlignment="1" applyProtection="1">
      <alignment horizontal="center" vertical="center" wrapText="1"/>
      <protection locked="0"/>
    </xf>
    <xf numFmtId="0" fontId="14" fillId="6" borderId="11" xfId="0" applyFont="1" applyFill="1" applyBorder="1" applyAlignment="1" applyProtection="1">
      <alignment horizontal="left" vertical="center" wrapText="1"/>
    </xf>
    <xf numFmtId="0" fontId="14" fillId="6" borderId="6" xfId="0" applyFont="1" applyFill="1" applyBorder="1" applyAlignment="1" applyProtection="1">
      <alignment horizontal="left" vertical="center" wrapText="1"/>
    </xf>
    <xf numFmtId="0" fontId="28" fillId="10" borderId="6" xfId="0" applyFont="1" applyFill="1" applyBorder="1" applyAlignment="1" applyProtection="1">
      <alignment horizontal="center" vertical="center"/>
      <protection locked="0"/>
    </xf>
    <xf numFmtId="0" fontId="14" fillId="0" borderId="7" xfId="0" applyFont="1" applyBorder="1" applyAlignment="1" applyProtection="1">
      <alignment horizontal="center"/>
      <protection locked="0"/>
    </xf>
    <xf numFmtId="0" fontId="21" fillId="10" borderId="6" xfId="0" applyFont="1" applyFill="1" applyBorder="1" applyProtection="1">
      <protection locked="0"/>
    </xf>
    <xf numFmtId="0" fontId="21" fillId="10" borderId="6" xfId="0" applyFont="1" applyFill="1" applyBorder="1" applyAlignment="1" applyProtection="1">
      <alignment horizontal="right"/>
      <protection locked="0"/>
    </xf>
    <xf numFmtId="0" fontId="20" fillId="10" borderId="6" xfId="0" applyFont="1" applyFill="1" applyBorder="1" applyProtection="1">
      <protection locked="0"/>
    </xf>
    <xf numFmtId="0" fontId="0" fillId="2" borderId="0" xfId="0" applyFill="1" applyBorder="1" applyProtection="1"/>
    <xf numFmtId="0" fontId="0" fillId="2" borderId="3" xfId="0" applyFill="1" applyBorder="1" applyProtection="1"/>
    <xf numFmtId="0" fontId="33" fillId="2" borderId="0" xfId="0" applyFont="1" applyFill="1" applyBorder="1" applyProtection="1"/>
    <xf numFmtId="0" fontId="6" fillId="2" borderId="0" xfId="0" applyFont="1" applyFill="1" applyAlignment="1" applyProtection="1">
      <alignment horizontal="center"/>
    </xf>
    <xf numFmtId="0" fontId="8" fillId="2" borderId="1" xfId="0" applyFont="1" applyFill="1" applyBorder="1" applyProtection="1"/>
    <xf numFmtId="0" fontId="0" fillId="2" borderId="14" xfId="0" applyFill="1" applyBorder="1" applyAlignment="1" applyProtection="1">
      <alignment horizontal="center"/>
    </xf>
    <xf numFmtId="0" fontId="0" fillId="2" borderId="15" xfId="0" applyFill="1" applyBorder="1" applyAlignment="1" applyProtection="1">
      <alignment horizontal="center"/>
    </xf>
    <xf numFmtId="0" fontId="4" fillId="0" borderId="0" xfId="0" applyFont="1" applyProtection="1"/>
    <xf numFmtId="0" fontId="4" fillId="0" borderId="0" xfId="0" applyFont="1" applyAlignment="1" applyProtection="1">
      <alignment horizontal="center"/>
    </xf>
    <xf numFmtId="0" fontId="14" fillId="0" borderId="0" xfId="0" applyFont="1" applyProtection="1"/>
    <xf numFmtId="0" fontId="14" fillId="6" borderId="0" xfId="0" applyFont="1" applyFill="1" applyProtection="1"/>
    <xf numFmtId="0" fontId="12" fillId="0" borderId="0" xfId="0" applyFont="1" applyAlignment="1" applyProtection="1">
      <alignment horizontal="right"/>
    </xf>
    <xf numFmtId="0" fontId="4" fillId="0" borderId="0" xfId="0" applyFont="1" applyAlignment="1" applyProtection="1">
      <alignment horizontal="right"/>
    </xf>
    <xf numFmtId="0" fontId="0" fillId="16" borderId="0" xfId="0" applyFill="1" applyProtection="1"/>
    <xf numFmtId="0" fontId="21" fillId="6" borderId="16" xfId="0" applyFont="1" applyFill="1" applyBorder="1" applyAlignment="1" applyProtection="1">
      <alignment horizontal="center" vertical="center" wrapText="1"/>
    </xf>
    <xf numFmtId="0" fontId="1" fillId="16" borderId="0" xfId="0" applyFont="1" applyFill="1" applyProtection="1"/>
    <xf numFmtId="0" fontId="0" fillId="16" borderId="1" xfId="0" applyFill="1" applyBorder="1" applyProtection="1"/>
    <xf numFmtId="0" fontId="21" fillId="6" borderId="8" xfId="0" applyFont="1" applyFill="1" applyBorder="1" applyAlignment="1" applyProtection="1">
      <alignment horizontal="center" vertical="center" wrapText="1"/>
    </xf>
    <xf numFmtId="0" fontId="14" fillId="2" borderId="0" xfId="0" applyFont="1" applyFill="1"/>
    <xf numFmtId="0" fontId="0" fillId="13" borderId="0" xfId="0" applyFill="1"/>
    <xf numFmtId="0" fontId="14" fillId="0" borderId="0" xfId="0" applyFont="1"/>
    <xf numFmtId="0" fontId="14" fillId="0" borderId="0" xfId="0" applyFont="1" applyAlignment="1">
      <alignment wrapText="1"/>
    </xf>
    <xf numFmtId="0" fontId="14" fillId="13" borderId="0" xfId="0" applyFont="1" applyFill="1"/>
    <xf numFmtId="0" fontId="14" fillId="0" borderId="0" xfId="0" applyFont="1" applyFill="1"/>
    <xf numFmtId="0" fontId="14" fillId="16" borderId="0" xfId="0" applyFont="1" applyFill="1"/>
    <xf numFmtId="0" fontId="12" fillId="16" borderId="0" xfId="0" applyFont="1" applyFill="1" applyAlignment="1">
      <alignment wrapText="1"/>
    </xf>
    <xf numFmtId="0" fontId="12" fillId="3" borderId="0" xfId="0" applyFont="1" applyFill="1" applyAlignment="1"/>
    <xf numFmtId="0" fontId="12" fillId="3" borderId="0" xfId="0" applyFont="1" applyFill="1" applyAlignment="1">
      <alignment horizontal="center"/>
    </xf>
    <xf numFmtId="0" fontId="14" fillId="18" borderId="0" xfId="0" applyFont="1" applyFill="1" applyAlignment="1">
      <alignment wrapText="1"/>
    </xf>
    <xf numFmtId="0" fontId="14" fillId="18" borderId="0" xfId="0" applyFont="1" applyFill="1" applyAlignment="1">
      <alignment horizontal="center"/>
    </xf>
    <xf numFmtId="0" fontId="14" fillId="18" borderId="0" xfId="0" applyFont="1" applyFill="1"/>
    <xf numFmtId="0" fontId="14" fillId="16" borderId="0" xfId="0" applyFont="1" applyFill="1" applyAlignment="1">
      <alignment wrapText="1"/>
    </xf>
    <xf numFmtId="0" fontId="12" fillId="0" borderId="6" xfId="0" applyFont="1" applyBorder="1" applyAlignment="1" applyProtection="1">
      <alignment horizontal="center"/>
      <protection locked="0"/>
    </xf>
    <xf numFmtId="10" fontId="14" fillId="0" borderId="6" xfId="2" applyNumberFormat="1" applyFont="1" applyFill="1" applyBorder="1" applyAlignment="1" applyProtection="1">
      <alignment horizontal="center" wrapText="1"/>
      <protection locked="0"/>
    </xf>
    <xf numFmtId="0" fontId="14" fillId="17" borderId="0" xfId="0" applyFont="1" applyFill="1" applyBorder="1" applyAlignment="1">
      <alignment horizontal="center" vertical="center"/>
    </xf>
    <xf numFmtId="0" fontId="14" fillId="17" borderId="0" xfId="0" applyFont="1" applyFill="1" applyAlignment="1">
      <alignment horizontal="center" vertical="center"/>
    </xf>
    <xf numFmtId="0" fontId="14" fillId="0" borderId="6" xfId="0" applyFont="1" applyFill="1" applyBorder="1" applyAlignment="1" applyProtection="1">
      <alignment horizontal="center" vertical="center" wrapText="1"/>
      <protection locked="0"/>
    </xf>
    <xf numFmtId="0" fontId="14" fillId="0" borderId="6" xfId="0" applyFont="1" applyFill="1" applyBorder="1" applyAlignment="1" applyProtection="1">
      <alignment horizontal="center" vertical="center"/>
      <protection locked="0"/>
    </xf>
    <xf numFmtId="0" fontId="15" fillId="18" borderId="0" xfId="0" applyFont="1" applyFill="1" applyAlignment="1">
      <alignment horizontal="center" vertical="center"/>
    </xf>
    <xf numFmtId="0" fontId="15" fillId="18" borderId="0" xfId="0" applyFont="1" applyFill="1" applyBorder="1" applyAlignment="1">
      <alignment horizontal="center" vertical="center"/>
    </xf>
    <xf numFmtId="0" fontId="14" fillId="8" borderId="0" xfId="0" applyFont="1" applyFill="1" applyBorder="1" applyAlignment="1" applyProtection="1">
      <alignment horizontal="right"/>
      <protection locked="0"/>
    </xf>
    <xf numFmtId="0" fontId="14" fillId="8" borderId="0" xfId="0" applyFont="1" applyFill="1" applyBorder="1" applyAlignment="1" applyProtection="1">
      <alignment horizontal="left"/>
      <protection locked="0"/>
    </xf>
    <xf numFmtId="0" fontId="4" fillId="3" borderId="0" xfId="0" applyFont="1" applyFill="1" applyAlignment="1" applyProtection="1">
      <alignment horizontal="right" vertical="center"/>
    </xf>
    <xf numFmtId="0" fontId="13" fillId="10" borderId="0" xfId="0" applyFont="1" applyFill="1" applyBorder="1" applyAlignment="1">
      <alignment horizontal="right"/>
    </xf>
    <xf numFmtId="3" fontId="14" fillId="0" borderId="6" xfId="0" applyNumberFormat="1" applyFont="1" applyFill="1" applyBorder="1" applyAlignment="1" applyProtection="1">
      <alignment horizontal="center" vertical="center"/>
      <protection locked="0"/>
    </xf>
    <xf numFmtId="0" fontId="12" fillId="6" borderId="0" xfId="0" applyFont="1" applyFill="1" applyBorder="1" applyAlignment="1" applyProtection="1">
      <alignment horizontal="center"/>
    </xf>
    <xf numFmtId="0" fontId="14" fillId="0" borderId="0" xfId="0" applyFont="1" applyFill="1" applyBorder="1" applyAlignment="1" applyProtection="1">
      <alignment horizontal="right"/>
    </xf>
    <xf numFmtId="0" fontId="12" fillId="0" borderId="0" xfId="0" applyFont="1" applyFill="1" applyBorder="1" applyAlignment="1" applyProtection="1">
      <alignment horizontal="center"/>
    </xf>
    <xf numFmtId="0" fontId="14" fillId="3" borderId="0" xfId="0" applyFont="1" applyFill="1"/>
    <xf numFmtId="0" fontId="14" fillId="6" borderId="0" xfId="0" applyFont="1" applyFill="1" applyBorder="1" applyAlignment="1" applyProtection="1"/>
    <xf numFmtId="0" fontId="12" fillId="0" borderId="0" xfId="0" applyFont="1" applyAlignment="1">
      <alignment horizontal="center"/>
    </xf>
    <xf numFmtId="0" fontId="14" fillId="0" borderId="0" xfId="0" applyFont="1" applyAlignment="1">
      <alignment horizontal="center"/>
    </xf>
    <xf numFmtId="0" fontId="12" fillId="6" borderId="0" xfId="0" applyFont="1" applyFill="1" applyBorder="1" applyAlignment="1" applyProtection="1">
      <alignment horizontal="left"/>
    </xf>
    <xf numFmtId="0" fontId="14" fillId="0" borderId="0" xfId="0" applyFont="1" applyAlignment="1">
      <alignment horizontal="center"/>
    </xf>
    <xf numFmtId="0" fontId="14" fillId="15" borderId="0" xfId="0" applyFont="1" applyFill="1"/>
    <xf numFmtId="0" fontId="14" fillId="8" borderId="0" xfId="0" applyFont="1" applyFill="1"/>
    <xf numFmtId="0" fontId="14" fillId="16" borderId="0" xfId="0" applyFont="1" applyFill="1" applyAlignment="1">
      <alignment horizontal="right"/>
    </xf>
    <xf numFmtId="0" fontId="47" fillId="16" borderId="0" xfId="0" applyFont="1" applyFill="1" applyAlignment="1">
      <alignment horizontal="center"/>
    </xf>
    <xf numFmtId="0" fontId="14" fillId="16" borderId="0" xfId="0" applyFont="1" applyFill="1" applyAlignment="1">
      <alignment horizontal="left"/>
    </xf>
    <xf numFmtId="0" fontId="14" fillId="16" borderId="0" xfId="0" applyFont="1" applyFill="1" applyAlignment="1">
      <alignment horizontal="center"/>
    </xf>
    <xf numFmtId="0" fontId="19" fillId="6" borderId="0" xfId="0" applyFont="1" applyFill="1" applyBorder="1" applyAlignment="1" applyProtection="1">
      <alignment horizontal="right"/>
    </xf>
    <xf numFmtId="0" fontId="51" fillId="0" borderId="0" xfId="0" applyFont="1" applyFill="1" applyAlignment="1">
      <alignment vertical="center" wrapText="1"/>
    </xf>
    <xf numFmtId="0" fontId="51" fillId="0" borderId="0" xfId="0" applyFont="1" applyFill="1" applyAlignment="1">
      <alignment vertical="center"/>
    </xf>
    <xf numFmtId="0" fontId="12" fillId="16" borderId="0" xfId="0" applyFont="1" applyFill="1"/>
    <xf numFmtId="0" fontId="12" fillId="16" borderId="0" xfId="0" applyFont="1" applyFill="1" applyAlignment="1">
      <alignment horizontal="left"/>
    </xf>
    <xf numFmtId="0" fontId="12" fillId="16" borderId="0" xfId="0" applyFont="1" applyFill="1" applyBorder="1" applyAlignment="1" applyProtection="1">
      <alignment horizontal="center"/>
    </xf>
    <xf numFmtId="0" fontId="14" fillId="16" borderId="0" xfId="0" applyFont="1" applyFill="1" applyBorder="1" applyProtection="1"/>
    <xf numFmtId="0" fontId="4" fillId="16" borderId="0" xfId="0" applyFont="1" applyFill="1" applyBorder="1" applyProtection="1"/>
    <xf numFmtId="0" fontId="29" fillId="16" borderId="0" xfId="0" applyFont="1" applyFill="1" applyBorder="1" applyProtection="1"/>
    <xf numFmtId="0" fontId="24" fillId="16" borderId="0" xfId="0" applyFont="1" applyFill="1" applyBorder="1" applyAlignment="1" applyProtection="1">
      <alignment horizontal="center"/>
    </xf>
    <xf numFmtId="0" fontId="4" fillId="16" borderId="0" xfId="0" applyFont="1" applyFill="1" applyBorder="1" applyAlignment="1" applyProtection="1">
      <alignment horizontal="center"/>
    </xf>
    <xf numFmtId="0" fontId="14" fillId="15" borderId="0" xfId="0" applyFont="1" applyFill="1" applyBorder="1"/>
    <xf numFmtId="0" fontId="14" fillId="15" borderId="1" xfId="0" applyFont="1" applyFill="1" applyBorder="1" applyProtection="1"/>
    <xf numFmtId="0" fontId="14" fillId="16" borderId="3" xfId="0" applyFont="1" applyFill="1" applyBorder="1" applyAlignment="1"/>
    <xf numFmtId="0" fontId="14" fillId="8" borderId="0" xfId="0" applyFont="1" applyFill="1" applyBorder="1"/>
    <xf numFmtId="0" fontId="14" fillId="8" borderId="1" xfId="0" applyFont="1" applyFill="1" applyBorder="1"/>
    <xf numFmtId="0" fontId="14" fillId="8" borderId="1" xfId="0" applyFont="1" applyFill="1" applyBorder="1" applyAlignment="1"/>
    <xf numFmtId="0" fontId="14" fillId="8" borderId="0" xfId="0" applyFont="1" applyFill="1" applyAlignment="1"/>
    <xf numFmtId="0" fontId="26" fillId="8" borderId="11" xfId="0" applyFont="1" applyFill="1" applyBorder="1" applyAlignment="1"/>
    <xf numFmtId="0" fontId="29" fillId="8" borderId="0" xfId="0" applyFont="1" applyFill="1" applyBorder="1" applyProtection="1"/>
    <xf numFmtId="0" fontId="29" fillId="15" borderId="0" xfId="0" applyFont="1" applyFill="1" applyBorder="1" applyProtection="1"/>
    <xf numFmtId="0" fontId="24" fillId="14" borderId="0" xfId="0" applyFont="1" applyFill="1" applyBorder="1" applyAlignment="1" applyProtection="1"/>
    <xf numFmtId="0" fontId="29" fillId="14" borderId="0" xfId="0" applyFont="1" applyFill="1" applyBorder="1" applyProtection="1"/>
    <xf numFmtId="0" fontId="24" fillId="0" borderId="10" xfId="0" applyFont="1" applyFill="1" applyBorder="1" applyAlignment="1" applyProtection="1">
      <alignment horizontal="center"/>
      <protection locked="0"/>
    </xf>
    <xf numFmtId="0" fontId="12" fillId="10" borderId="6" xfId="0" applyFont="1" applyFill="1" applyBorder="1" applyAlignment="1" applyProtection="1">
      <alignment horizontal="center"/>
      <protection locked="0"/>
    </xf>
    <xf numFmtId="0" fontId="12" fillId="10" borderId="12" xfId="0" applyFont="1" applyFill="1" applyBorder="1" applyAlignment="1" applyProtection="1">
      <alignment horizontal="center"/>
      <protection locked="0"/>
    </xf>
    <xf numFmtId="0" fontId="14" fillId="15" borderId="0" xfId="0" applyFont="1" applyFill="1" applyBorder="1" applyAlignment="1" applyProtection="1">
      <alignment horizontal="center"/>
    </xf>
    <xf numFmtId="0" fontId="12" fillId="0" borderId="12" xfId="0" applyFont="1" applyFill="1" applyBorder="1" applyAlignment="1" applyProtection="1">
      <alignment horizontal="center"/>
      <protection locked="0"/>
    </xf>
    <xf numFmtId="0" fontId="12" fillId="16" borderId="0" xfId="0" applyFont="1" applyFill="1" applyAlignment="1">
      <alignment horizontal="right"/>
    </xf>
    <xf numFmtId="0" fontId="12" fillId="16" borderId="0" xfId="0" applyFont="1" applyFill="1" applyAlignment="1">
      <alignment horizontal="center"/>
    </xf>
    <xf numFmtId="0" fontId="13" fillId="0" borderId="6" xfId="0" applyFont="1" applyFill="1" applyBorder="1" applyAlignment="1">
      <alignment horizontal="center"/>
    </xf>
    <xf numFmtId="0" fontId="17" fillId="0" borderId="6" xfId="0" applyFont="1" applyFill="1" applyBorder="1" applyAlignment="1">
      <alignment horizontal="center"/>
    </xf>
    <xf numFmtId="0" fontId="17" fillId="0" borderId="6" xfId="0" applyFont="1" applyBorder="1" applyAlignment="1">
      <alignment horizontal="center"/>
    </xf>
    <xf numFmtId="0" fontId="13" fillId="10" borderId="0" xfId="0" applyFont="1" applyFill="1"/>
    <xf numFmtId="0" fontId="1" fillId="0" borderId="13" xfId="0" applyFont="1" applyBorder="1" applyAlignment="1">
      <alignment horizontal="left" vertical="center" wrapText="1"/>
    </xf>
    <xf numFmtId="0" fontId="1" fillId="0" borderId="13" xfId="0" applyFont="1" applyBorder="1" applyAlignment="1">
      <alignment horizontal="center" vertical="center" wrapText="1"/>
    </xf>
    <xf numFmtId="0" fontId="0" fillId="0" borderId="13" xfId="0" applyBorder="1" applyAlignment="1">
      <alignment vertical="center" wrapText="1"/>
    </xf>
    <xf numFmtId="0" fontId="0" fillId="0" borderId="13" xfId="0" applyBorder="1" applyAlignment="1">
      <alignment horizontal="right" vertical="center" wrapText="1"/>
    </xf>
    <xf numFmtId="0" fontId="1" fillId="0" borderId="13" xfId="0" applyFont="1" applyBorder="1" applyAlignment="1">
      <alignment vertical="center" wrapText="1"/>
    </xf>
    <xf numFmtId="0" fontId="1" fillId="0" borderId="13" xfId="0" applyFont="1" applyBorder="1" applyAlignment="1">
      <alignment horizontal="right" vertical="center" wrapText="1"/>
    </xf>
    <xf numFmtId="0" fontId="33" fillId="10" borderId="7" xfId="0" applyFont="1" applyFill="1" applyBorder="1" applyAlignment="1" applyProtection="1">
      <alignment horizontal="left"/>
      <protection locked="0"/>
    </xf>
    <xf numFmtId="0" fontId="33" fillId="10" borderId="8" xfId="0" applyFont="1" applyFill="1" applyBorder="1" applyAlignment="1" applyProtection="1">
      <alignment horizontal="left"/>
      <protection locked="0"/>
    </xf>
    <xf numFmtId="0" fontId="0" fillId="10" borderId="11" xfId="0" applyFill="1" applyBorder="1" applyAlignment="1" applyProtection="1">
      <alignment horizontal="left"/>
      <protection locked="0"/>
    </xf>
    <xf numFmtId="0" fontId="0" fillId="10" borderId="9" xfId="0" applyFill="1" applyBorder="1" applyAlignment="1" applyProtection="1">
      <alignment horizontal="left"/>
      <protection locked="0"/>
    </xf>
    <xf numFmtId="0" fontId="0" fillId="0" borderId="7" xfId="0" applyFill="1" applyBorder="1" applyAlignment="1" applyProtection="1">
      <alignment horizontal="left"/>
      <protection locked="0"/>
    </xf>
    <xf numFmtId="0" fontId="0" fillId="0" borderId="8" xfId="0" applyFill="1" applyBorder="1" applyAlignment="1" applyProtection="1">
      <alignment horizontal="left"/>
      <protection locked="0"/>
    </xf>
    <xf numFmtId="14" fontId="33" fillId="2" borderId="16" xfId="0" applyNumberFormat="1" applyFont="1" applyFill="1" applyBorder="1" applyAlignment="1" applyProtection="1">
      <alignment horizontal="left"/>
    </xf>
    <xf numFmtId="0" fontId="33" fillId="0" borderId="7" xfId="0" applyFont="1" applyFill="1" applyBorder="1" applyAlignment="1" applyProtection="1">
      <alignment horizontal="left"/>
      <protection locked="0"/>
    </xf>
    <xf numFmtId="0" fontId="33" fillId="0" borderId="8" xfId="0" applyFont="1" applyFill="1" applyBorder="1" applyAlignment="1" applyProtection="1">
      <alignment horizontal="left"/>
      <protection locked="0"/>
    </xf>
    <xf numFmtId="0" fontId="0" fillId="16" borderId="0" xfId="0" applyFill="1" applyAlignment="1" applyProtection="1">
      <alignment horizontal="center"/>
    </xf>
    <xf numFmtId="0" fontId="14" fillId="16" borderId="0" xfId="0" applyFont="1" applyFill="1" applyBorder="1" applyAlignment="1" applyProtection="1">
      <alignment horizontal="right" vertical="center"/>
    </xf>
    <xf numFmtId="0" fontId="14" fillId="2" borderId="0" xfId="0" applyFont="1" applyFill="1" applyBorder="1" applyAlignment="1" applyProtection="1">
      <alignment horizontal="right"/>
    </xf>
    <xf numFmtId="0" fontId="19" fillId="15" borderId="0" xfId="0" applyFont="1" applyFill="1" applyBorder="1" applyAlignment="1" applyProtection="1">
      <alignment horizontal="right"/>
    </xf>
    <xf numFmtId="0" fontId="19" fillId="6" borderId="0" xfId="0" applyFont="1" applyFill="1" applyAlignment="1" applyProtection="1">
      <alignment horizontal="right"/>
    </xf>
    <xf numFmtId="0" fontId="19" fillId="14" borderId="0" xfId="0" applyFont="1" applyFill="1" applyBorder="1" applyAlignment="1" applyProtection="1">
      <alignment horizontal="right"/>
    </xf>
    <xf numFmtId="0" fontId="15" fillId="2" borderId="0" xfId="0" applyFont="1" applyFill="1" applyAlignment="1" applyProtection="1">
      <alignment horizontal="left"/>
    </xf>
    <xf numFmtId="0" fontId="34" fillId="2" borderId="0" xfId="0" applyFont="1" applyFill="1" applyBorder="1" applyAlignment="1" applyProtection="1">
      <alignment horizontal="center"/>
    </xf>
    <xf numFmtId="0" fontId="34" fillId="2" borderId="15" xfId="0" applyFont="1" applyFill="1" applyBorder="1" applyAlignment="1" applyProtection="1">
      <alignment horizontal="center"/>
    </xf>
    <xf numFmtId="0" fontId="14" fillId="2" borderId="0" xfId="0" applyFont="1" applyFill="1" applyBorder="1" applyAlignment="1" applyProtection="1">
      <alignment horizontal="center"/>
    </xf>
    <xf numFmtId="0" fontId="12" fillId="12" borderId="0" xfId="0" applyFont="1" applyFill="1" applyBorder="1" applyAlignment="1" applyProtection="1">
      <alignment horizontal="center"/>
    </xf>
    <xf numFmtId="0" fontId="21" fillId="10" borderId="6" xfId="0" applyFont="1" applyFill="1" applyBorder="1" applyAlignment="1" applyProtection="1">
      <alignment horizontal="left"/>
      <protection locked="0"/>
    </xf>
    <xf numFmtId="0" fontId="14" fillId="12" borderId="0" xfId="0" applyFont="1" applyFill="1" applyBorder="1" applyAlignment="1" applyProtection="1">
      <alignment horizontal="right"/>
    </xf>
    <xf numFmtId="0" fontId="18" fillId="12" borderId="0" xfId="0" applyFont="1" applyFill="1" applyAlignment="1" applyProtection="1">
      <alignment horizontal="center"/>
    </xf>
    <xf numFmtId="0" fontId="26" fillId="2" borderId="0" xfId="0" applyFont="1" applyFill="1" applyBorder="1" applyAlignment="1" applyProtection="1">
      <alignment horizontal="right"/>
    </xf>
    <xf numFmtId="0" fontId="16" fillId="0" borderId="6" xfId="0" applyFont="1" applyFill="1" applyBorder="1" applyAlignment="1" applyProtection="1">
      <alignment horizontal="left"/>
      <protection locked="0"/>
    </xf>
    <xf numFmtId="0" fontId="16" fillId="0" borderId="7" xfId="0" applyFont="1" applyFill="1" applyBorder="1" applyAlignment="1" applyProtection="1">
      <alignment horizontal="left"/>
      <protection locked="0"/>
    </xf>
    <xf numFmtId="0" fontId="16" fillId="0" borderId="8" xfId="0" applyFont="1" applyFill="1" applyBorder="1" applyAlignment="1" applyProtection="1">
      <alignment horizontal="left"/>
      <protection locked="0"/>
    </xf>
    <xf numFmtId="0" fontId="27" fillId="12" borderId="0" xfId="0" applyFont="1" applyFill="1" applyAlignment="1" applyProtection="1">
      <alignment horizontal="center"/>
    </xf>
    <xf numFmtId="0" fontId="19" fillId="6" borderId="0" xfId="0" applyFont="1" applyFill="1" applyBorder="1" applyAlignment="1" applyProtection="1">
      <alignment horizontal="right"/>
    </xf>
    <xf numFmtId="0" fontId="12" fillId="14" borderId="0" xfId="0" applyFont="1" applyFill="1" applyAlignment="1">
      <alignment horizontal="center"/>
    </xf>
    <xf numFmtId="0" fontId="25" fillId="2" borderId="0" xfId="0" applyFont="1" applyFill="1" applyAlignment="1" applyProtection="1">
      <alignment horizontal="center"/>
    </xf>
    <xf numFmtId="0" fontId="13" fillId="2" borderId="0" xfId="0" applyFont="1" applyFill="1" applyAlignment="1" applyProtection="1">
      <alignment horizontal="left"/>
    </xf>
    <xf numFmtId="0" fontId="16" fillId="14" borderId="0" xfId="0" applyFont="1" applyFill="1" applyBorder="1" applyAlignment="1" applyProtection="1">
      <alignment horizontal="center"/>
    </xf>
    <xf numFmtId="0" fontId="10" fillId="14" borderId="0" xfId="0" applyFont="1" applyFill="1" applyBorder="1" applyAlignment="1" applyProtection="1">
      <alignment horizontal="center"/>
    </xf>
    <xf numFmtId="0" fontId="19" fillId="14" borderId="14" xfId="0" applyFont="1" applyFill="1" applyBorder="1" applyAlignment="1" applyProtection="1">
      <alignment horizontal="right"/>
    </xf>
    <xf numFmtId="0" fontId="22" fillId="10" borderId="7" xfId="0" applyFont="1" applyFill="1" applyBorder="1" applyAlignment="1" applyProtection="1">
      <alignment horizontal="center"/>
      <protection locked="0"/>
    </xf>
    <xf numFmtId="0" fontId="22" fillId="10" borderId="8" xfId="0" applyFont="1" applyFill="1" applyBorder="1" applyAlignment="1" applyProtection="1">
      <alignment horizontal="center"/>
      <protection locked="0"/>
    </xf>
    <xf numFmtId="0" fontId="17" fillId="2" borderId="0" xfId="0" applyFont="1" applyFill="1" applyAlignment="1" applyProtection="1">
      <alignment horizontal="center"/>
    </xf>
    <xf numFmtId="0" fontId="17" fillId="2" borderId="15" xfId="0" applyFont="1" applyFill="1" applyBorder="1" applyAlignment="1" applyProtection="1">
      <alignment horizontal="center"/>
    </xf>
    <xf numFmtId="0" fontId="16" fillId="15" borderId="0" xfId="0" applyFont="1" applyFill="1" applyBorder="1" applyAlignment="1" applyProtection="1">
      <alignment horizontal="center"/>
    </xf>
    <xf numFmtId="0" fontId="20" fillId="0" borderId="7" xfId="0" applyFont="1" applyFill="1" applyBorder="1" applyAlignment="1" applyProtection="1">
      <alignment horizontal="left"/>
      <protection locked="0"/>
    </xf>
    <xf numFmtId="0" fontId="20" fillId="0" borderId="8" xfId="0" applyFont="1" applyFill="1" applyBorder="1" applyAlignment="1" applyProtection="1">
      <alignment horizontal="left"/>
      <protection locked="0"/>
    </xf>
    <xf numFmtId="0" fontId="20" fillId="0" borderId="7" xfId="0" applyFont="1" applyFill="1" applyBorder="1" applyAlignment="1" applyProtection="1">
      <alignment horizontal="center"/>
      <protection locked="0"/>
    </xf>
    <xf numFmtId="0" fontId="20" fillId="0" borderId="8" xfId="0" applyFont="1" applyFill="1" applyBorder="1" applyAlignment="1" applyProtection="1">
      <alignment horizontal="center"/>
      <protection locked="0"/>
    </xf>
    <xf numFmtId="0" fontId="20" fillId="6" borderId="0" xfId="0" applyFont="1" applyFill="1" applyBorder="1" applyAlignment="1" applyProtection="1">
      <alignment horizontal="center"/>
    </xf>
    <xf numFmtId="0" fontId="17" fillId="2" borderId="0" xfId="0" applyFont="1" applyFill="1" applyAlignment="1" applyProtection="1">
      <alignment horizontal="right"/>
    </xf>
    <xf numFmtId="0" fontId="17" fillId="2" borderId="15" xfId="0" applyFont="1" applyFill="1" applyBorder="1" applyAlignment="1" applyProtection="1">
      <alignment horizontal="right"/>
    </xf>
    <xf numFmtId="0" fontId="25" fillId="2" borderId="0" xfId="0" applyFont="1" applyFill="1" applyAlignment="1" applyProtection="1">
      <alignment horizontal="right"/>
    </xf>
    <xf numFmtId="0" fontId="36" fillId="15" borderId="0" xfId="0" applyFont="1" applyFill="1" applyBorder="1" applyAlignment="1">
      <alignment horizontal="right"/>
    </xf>
    <xf numFmtId="0" fontId="17" fillId="15" borderId="1" xfId="0" applyFont="1" applyFill="1" applyBorder="1" applyAlignment="1">
      <alignment horizontal="right"/>
    </xf>
    <xf numFmtId="0" fontId="17" fillId="15" borderId="18" xfId="0" applyFont="1" applyFill="1" applyBorder="1" applyAlignment="1">
      <alignment horizontal="right"/>
    </xf>
    <xf numFmtId="0" fontId="36" fillId="15" borderId="3" xfId="0" applyFont="1" applyFill="1" applyBorder="1" applyAlignment="1">
      <alignment horizontal="right"/>
    </xf>
    <xf numFmtId="0" fontId="17" fillId="15" borderId="0" xfId="0" applyFont="1" applyFill="1" applyAlignment="1">
      <alignment horizontal="right"/>
    </xf>
    <xf numFmtId="0" fontId="17" fillId="15" borderId="15" xfId="0" applyFont="1" applyFill="1" applyBorder="1" applyAlignment="1">
      <alignment horizontal="right"/>
    </xf>
    <xf numFmtId="0" fontId="14" fillId="2" borderId="15" xfId="0" applyFont="1" applyFill="1" applyBorder="1" applyAlignment="1" applyProtection="1">
      <alignment horizontal="right"/>
    </xf>
    <xf numFmtId="0" fontId="36" fillId="2" borderId="0" xfId="0" applyFont="1" applyFill="1" applyBorder="1" applyAlignment="1" applyProtection="1">
      <alignment horizontal="center"/>
    </xf>
    <xf numFmtId="0" fontId="14" fillId="2" borderId="0" xfId="0" applyFont="1" applyFill="1" applyBorder="1" applyAlignment="1" applyProtection="1">
      <alignment horizontal="left" vertical="center"/>
    </xf>
    <xf numFmtId="0" fontId="28" fillId="15" borderId="7" xfId="0" applyFont="1" applyFill="1" applyBorder="1" applyAlignment="1" applyProtection="1">
      <alignment horizontal="left"/>
    </xf>
    <xf numFmtId="0" fontId="28" fillId="15" borderId="16" xfId="0" applyFont="1" applyFill="1" applyBorder="1" applyAlignment="1" applyProtection="1">
      <alignment horizontal="left"/>
    </xf>
    <xf numFmtId="0" fontId="28" fillId="15" borderId="8" xfId="0" applyFont="1" applyFill="1" applyBorder="1" applyAlignment="1" applyProtection="1">
      <alignment horizontal="left"/>
    </xf>
    <xf numFmtId="0" fontId="14" fillId="16" borderId="0" xfId="0" applyFont="1" applyFill="1" applyAlignment="1">
      <alignment horizontal="center"/>
    </xf>
    <xf numFmtId="0" fontId="12" fillId="2" borderId="0" xfId="0" applyFont="1" applyFill="1" applyBorder="1" applyAlignment="1" applyProtection="1">
      <alignment horizontal="center" vertical="center"/>
    </xf>
    <xf numFmtId="0" fontId="31" fillId="13" borderId="0" xfId="0" applyFont="1" applyFill="1" applyBorder="1" applyAlignment="1" applyProtection="1">
      <alignment horizontal="left"/>
    </xf>
    <xf numFmtId="0" fontId="21" fillId="2" borderId="0" xfId="0" applyFont="1" applyFill="1" applyBorder="1" applyAlignment="1" applyProtection="1">
      <alignment horizontal="center"/>
    </xf>
    <xf numFmtId="0" fontId="24" fillId="3" borderId="0" xfId="0" applyFont="1" applyFill="1" applyBorder="1" applyAlignment="1" applyProtection="1">
      <alignment horizontal="center"/>
    </xf>
    <xf numFmtId="0" fontId="24" fillId="15" borderId="0" xfId="0" applyFont="1" applyFill="1" applyBorder="1" applyAlignment="1" applyProtection="1">
      <alignment horizontal="center"/>
    </xf>
    <xf numFmtId="0" fontId="24" fillId="14" borderId="0" xfId="0" applyFont="1" applyFill="1" applyBorder="1" applyAlignment="1" applyProtection="1">
      <alignment horizontal="center"/>
    </xf>
    <xf numFmtId="0" fontId="24" fillId="0" borderId="7" xfId="0" applyFont="1" applyFill="1" applyBorder="1" applyAlignment="1" applyProtection="1">
      <alignment horizontal="center"/>
      <protection locked="0"/>
    </xf>
    <xf numFmtId="0" fontId="24" fillId="0" borderId="8" xfId="0" applyFont="1" applyFill="1" applyBorder="1" applyAlignment="1" applyProtection="1">
      <alignment horizontal="center"/>
      <protection locked="0"/>
    </xf>
    <xf numFmtId="0" fontId="35" fillId="16" borderId="0" xfId="0" applyFont="1" applyFill="1" applyBorder="1" applyAlignment="1" applyProtection="1">
      <alignment horizontal="right"/>
    </xf>
    <xf numFmtId="0" fontId="24" fillId="8" borderId="0" xfId="0" applyFont="1" applyFill="1" applyBorder="1" applyAlignment="1" applyProtection="1">
      <alignment horizontal="center"/>
    </xf>
    <xf numFmtId="0" fontId="29" fillId="8" borderId="0" xfId="0" applyFont="1" applyFill="1" applyBorder="1" applyAlignment="1" applyProtection="1">
      <alignment horizontal="right"/>
    </xf>
    <xf numFmtId="0" fontId="29" fillId="8" borderId="15" xfId="0" applyFont="1" applyFill="1" applyBorder="1" applyAlignment="1" applyProtection="1">
      <alignment horizontal="right"/>
    </xf>
    <xf numFmtId="0" fontId="29" fillId="16" borderId="0" xfId="0" applyFont="1" applyFill="1" applyBorder="1" applyAlignment="1" applyProtection="1">
      <alignment horizontal="right"/>
    </xf>
    <xf numFmtId="0" fontId="51" fillId="0" borderId="0" xfId="0" applyFont="1" applyAlignment="1">
      <alignment horizontal="center"/>
    </xf>
    <xf numFmtId="0" fontId="14" fillId="16" borderId="0" xfId="0" applyFont="1" applyFill="1" applyAlignment="1">
      <alignment horizontal="right"/>
    </xf>
    <xf numFmtId="0" fontId="26" fillId="16" borderId="0" xfId="0" applyFont="1" applyFill="1" applyAlignment="1">
      <alignment horizontal="right"/>
    </xf>
    <xf numFmtId="0" fontId="25" fillId="16" borderId="0" xfId="0" applyFont="1" applyFill="1" applyAlignment="1">
      <alignment horizontal="right" vertical="top" wrapText="1"/>
    </xf>
    <xf numFmtId="0" fontId="52" fillId="16" borderId="0" xfId="0" applyFont="1" applyFill="1" applyAlignment="1">
      <alignment horizontal="left"/>
    </xf>
    <xf numFmtId="0" fontId="12" fillId="3" borderId="7" xfId="0" applyFont="1" applyFill="1" applyBorder="1" applyAlignment="1">
      <alignment horizontal="left"/>
    </xf>
    <xf numFmtId="0" fontId="12" fillId="3" borderId="16" xfId="0" applyFont="1" applyFill="1" applyBorder="1" applyAlignment="1">
      <alignment horizontal="left"/>
    </xf>
    <xf numFmtId="0" fontId="12" fillId="3" borderId="8" xfId="0" applyFont="1" applyFill="1" applyBorder="1" applyAlignment="1">
      <alignment horizontal="left"/>
    </xf>
    <xf numFmtId="0" fontId="26" fillId="8" borderId="0" xfId="0" applyFont="1" applyFill="1" applyAlignment="1">
      <alignment horizontal="right"/>
    </xf>
    <xf numFmtId="0" fontId="12" fillId="0" borderId="17" xfId="0" applyFont="1" applyFill="1" applyBorder="1" applyAlignment="1" applyProtection="1">
      <alignment horizontal="center"/>
      <protection locked="0"/>
    </xf>
    <xf numFmtId="0" fontId="12" fillId="0" borderId="18" xfId="0" applyFont="1" applyFill="1" applyBorder="1" applyAlignment="1" applyProtection="1">
      <alignment horizontal="center"/>
      <protection locked="0"/>
    </xf>
    <xf numFmtId="0" fontId="14" fillId="14" borderId="0" xfId="0" applyFont="1" applyFill="1" applyBorder="1" applyAlignment="1" applyProtection="1">
      <alignment horizontal="right"/>
    </xf>
    <xf numFmtId="0" fontId="31" fillId="13" borderId="0" xfId="0" applyFont="1" applyFill="1" applyAlignment="1">
      <alignment horizontal="left"/>
    </xf>
    <xf numFmtId="0" fontId="12" fillId="13" borderId="0" xfId="0" applyFont="1" applyFill="1" applyAlignment="1">
      <alignment horizontal="left"/>
    </xf>
    <xf numFmtId="0" fontId="12" fillId="3" borderId="0" xfId="0" applyFont="1" applyFill="1" applyAlignment="1">
      <alignment horizontal="center"/>
    </xf>
    <xf numFmtId="0" fontId="14" fillId="6" borderId="0" xfId="0" applyFont="1" applyFill="1" applyAlignment="1" applyProtection="1">
      <alignment horizontal="right"/>
    </xf>
    <xf numFmtId="0" fontId="14" fillId="6" borderId="15" xfId="0" applyFont="1" applyFill="1" applyBorder="1" applyAlignment="1" applyProtection="1">
      <alignment horizontal="right"/>
    </xf>
    <xf numFmtId="0" fontId="12" fillId="14" borderId="0" xfId="0" applyFont="1" applyFill="1" applyBorder="1" applyAlignment="1" applyProtection="1">
      <alignment horizontal="center"/>
    </xf>
    <xf numFmtId="0" fontId="12" fillId="6" borderId="0" xfId="0" applyFont="1" applyFill="1" applyBorder="1" applyAlignment="1" applyProtection="1">
      <alignment horizontal="center"/>
    </xf>
    <xf numFmtId="0" fontId="32" fillId="13" borderId="0" xfId="0" applyFont="1" applyFill="1" applyBorder="1" applyAlignment="1" applyProtection="1">
      <alignment horizontal="left"/>
    </xf>
    <xf numFmtId="0" fontId="54" fillId="8" borderId="0" xfId="0" applyFont="1" applyFill="1" applyBorder="1" applyAlignment="1">
      <alignment horizontal="center" vertical="center" wrapText="1"/>
    </xf>
    <xf numFmtId="0" fontId="54" fillId="8" borderId="1" xfId="0" applyFont="1" applyFill="1" applyBorder="1" applyAlignment="1">
      <alignment horizontal="center" vertical="center" wrapText="1"/>
    </xf>
    <xf numFmtId="0" fontId="52" fillId="16" borderId="0" xfId="0" applyFont="1" applyFill="1" applyAlignment="1">
      <alignment horizontal="center" wrapText="1"/>
    </xf>
    <xf numFmtId="0" fontId="53" fillId="8" borderId="0" xfId="0" applyFont="1" applyFill="1" applyAlignment="1">
      <alignment horizontal="center" vertical="center" wrapText="1"/>
    </xf>
    <xf numFmtId="0" fontId="21" fillId="10" borderId="1" xfId="0" applyFont="1" applyFill="1" applyBorder="1" applyAlignment="1">
      <alignment horizontal="center"/>
    </xf>
    <xf numFmtId="0" fontId="21" fillId="10" borderId="1" xfId="0" applyFont="1" applyFill="1" applyBorder="1" applyAlignment="1">
      <alignment horizontal="right"/>
    </xf>
    <xf numFmtId="0" fontId="21" fillId="10" borderId="11" xfId="0" applyFont="1" applyFill="1" applyBorder="1" applyAlignment="1">
      <alignment horizontal="center"/>
    </xf>
    <xf numFmtId="0" fontId="21" fillId="10" borderId="3" xfId="0" applyFont="1" applyFill="1" applyBorder="1" applyAlignment="1">
      <alignment horizontal="center"/>
    </xf>
    <xf numFmtId="0" fontId="21" fillId="10" borderId="9" xfId="0" applyFont="1" applyFill="1" applyBorder="1" applyAlignment="1">
      <alignment horizontal="center"/>
    </xf>
    <xf numFmtId="0" fontId="13" fillId="10" borderId="0" xfId="0" applyFont="1" applyFill="1" applyBorder="1" applyAlignment="1">
      <alignment horizontal="center"/>
    </xf>
    <xf numFmtId="0" fontId="13" fillId="10" borderId="14" xfId="0" applyFont="1" applyFill="1" applyBorder="1" applyAlignment="1">
      <alignment horizontal="right"/>
    </xf>
    <xf numFmtId="0" fontId="13" fillId="10" borderId="0" xfId="0" applyFont="1" applyFill="1" applyBorder="1" applyAlignment="1">
      <alignment horizontal="right"/>
    </xf>
    <xf numFmtId="0" fontId="22" fillId="10" borderId="14" xfId="0" applyFont="1" applyFill="1" applyBorder="1" applyAlignment="1">
      <alignment horizontal="right"/>
    </xf>
    <xf numFmtId="0" fontId="20" fillId="10" borderId="11" xfId="0" applyFont="1" applyFill="1" applyBorder="1" applyAlignment="1">
      <alignment horizontal="center"/>
    </xf>
    <xf numFmtId="0" fontId="20" fillId="10" borderId="3" xfId="0" applyFont="1" applyFill="1" applyBorder="1" applyAlignment="1">
      <alignment horizontal="center"/>
    </xf>
    <xf numFmtId="0" fontId="20" fillId="10" borderId="9" xfId="0" applyFont="1" applyFill="1" applyBorder="1" applyAlignment="1">
      <alignment horizontal="center"/>
    </xf>
    <xf numFmtId="0" fontId="21" fillId="10" borderId="14" xfId="0" applyFont="1" applyFill="1" applyBorder="1" applyAlignment="1">
      <alignment horizontal="left"/>
    </xf>
    <xf numFmtId="0" fontId="21" fillId="10" borderId="0" xfId="0" applyFont="1" applyFill="1" applyBorder="1" applyAlignment="1">
      <alignment horizontal="left"/>
    </xf>
    <xf numFmtId="0" fontId="13" fillId="10" borderId="17" xfId="0" applyFont="1" applyFill="1" applyBorder="1" applyAlignment="1">
      <alignment horizontal="right"/>
    </xf>
    <xf numFmtId="0" fontId="13" fillId="10" borderId="1" xfId="0" applyFont="1" applyFill="1" applyBorder="1" applyAlignment="1">
      <alignment horizontal="right"/>
    </xf>
    <xf numFmtId="0" fontId="13" fillId="0" borderId="6" xfId="0" applyFont="1" applyFill="1" applyBorder="1" applyAlignment="1">
      <alignment horizontal="center" vertical="center" wrapText="1"/>
    </xf>
    <xf numFmtId="0" fontId="14" fillId="0" borderId="7" xfId="0" applyFont="1" applyBorder="1" applyAlignment="1">
      <alignment horizontal="center"/>
    </xf>
    <xf numFmtId="0" fontId="14" fillId="0" borderId="8" xfId="0" applyFont="1" applyBorder="1" applyAlignment="1">
      <alignment horizontal="center"/>
    </xf>
    <xf numFmtId="0" fontId="13" fillId="0" borderId="7" xfId="0" applyFont="1" applyBorder="1" applyAlignment="1">
      <alignment horizontal="center"/>
    </xf>
    <xf numFmtId="0" fontId="13" fillId="0" borderId="16" xfId="0" applyFont="1" applyBorder="1" applyAlignment="1">
      <alignment horizontal="center"/>
    </xf>
    <xf numFmtId="0" fontId="13" fillId="0" borderId="8" xfId="0" applyFont="1" applyBorder="1" applyAlignment="1">
      <alignment horizontal="center"/>
    </xf>
    <xf numFmtId="14" fontId="13" fillId="0" borderId="7" xfId="0" applyNumberFormat="1" applyFont="1" applyBorder="1" applyAlignment="1">
      <alignment horizontal="center"/>
    </xf>
    <xf numFmtId="0" fontId="13" fillId="10" borderId="0" xfId="0" applyFont="1" applyFill="1" applyBorder="1" applyAlignment="1">
      <alignment horizontal="left"/>
    </xf>
    <xf numFmtId="0" fontId="21" fillId="10" borderId="0" xfId="0" applyFont="1" applyFill="1" applyBorder="1" applyAlignment="1">
      <alignment horizontal="center"/>
    </xf>
    <xf numFmtId="0" fontId="20" fillId="10" borderId="14" xfId="0" applyFont="1" applyFill="1" applyBorder="1" applyAlignment="1">
      <alignment horizontal="right"/>
    </xf>
    <xf numFmtId="0" fontId="20" fillId="10" borderId="0" xfId="0" applyFont="1" applyFill="1" applyBorder="1" applyAlignment="1">
      <alignment horizontal="right"/>
    </xf>
    <xf numFmtId="0" fontId="21" fillId="10" borderId="14" xfId="0" applyFont="1" applyFill="1" applyBorder="1" applyAlignment="1">
      <alignment horizontal="right"/>
    </xf>
    <xf numFmtId="0" fontId="21" fillId="10" borderId="0" xfId="0" applyFont="1" applyFill="1" applyBorder="1" applyAlignment="1">
      <alignment horizontal="right"/>
    </xf>
    <xf numFmtId="0" fontId="22" fillId="10" borderId="17" xfId="0" applyFont="1" applyFill="1" applyBorder="1" applyAlignment="1">
      <alignment horizontal="right"/>
    </xf>
    <xf numFmtId="0" fontId="22" fillId="10" borderId="1" xfId="0" applyFont="1" applyFill="1" applyBorder="1" applyAlignment="1">
      <alignment horizontal="right"/>
    </xf>
    <xf numFmtId="0" fontId="34" fillId="0" borderId="6" xfId="0" applyFont="1" applyFill="1" applyBorder="1" applyAlignment="1">
      <alignment horizontal="center"/>
    </xf>
    <xf numFmtId="0" fontId="21" fillId="10" borderId="3" xfId="0" applyFont="1" applyFill="1" applyBorder="1" applyAlignment="1">
      <alignment horizontal="center" vertical="center"/>
    </xf>
    <xf numFmtId="0" fontId="21" fillId="10" borderId="1" xfId="0" applyFont="1" applyFill="1" applyBorder="1" applyAlignment="1">
      <alignment horizontal="center" vertical="center"/>
    </xf>
    <xf numFmtId="0" fontId="13" fillId="0" borderId="6" xfId="0" applyFont="1" applyFill="1" applyBorder="1" applyAlignment="1">
      <alignment horizontal="center"/>
    </xf>
    <xf numFmtId="0" fontId="13" fillId="0" borderId="6" xfId="0" applyFont="1" applyFill="1" applyBorder="1" applyAlignment="1">
      <alignment horizontal="center" vertical="center"/>
    </xf>
    <xf numFmtId="0" fontId="34" fillId="0" borderId="7" xfId="0" applyFont="1" applyFill="1" applyBorder="1" applyAlignment="1">
      <alignment horizontal="center"/>
    </xf>
    <xf numFmtId="0" fontId="34" fillId="0" borderId="16" xfId="0" applyFont="1" applyFill="1" applyBorder="1" applyAlignment="1">
      <alignment horizontal="center"/>
    </xf>
    <xf numFmtId="0" fontId="34" fillId="0" borderId="8" xfId="0" applyFont="1" applyFill="1" applyBorder="1" applyAlignment="1">
      <alignment horizontal="center"/>
    </xf>
    <xf numFmtId="0" fontId="13" fillId="0" borderId="7" xfId="0" applyFont="1" applyFill="1" applyBorder="1" applyAlignment="1">
      <alignment horizontal="center"/>
    </xf>
    <xf numFmtId="0" fontId="13" fillId="0" borderId="16" xfId="0" applyFont="1" applyFill="1" applyBorder="1" applyAlignment="1">
      <alignment horizontal="center"/>
    </xf>
    <xf numFmtId="0" fontId="13" fillId="0" borderId="8" xfId="0" applyFont="1" applyFill="1" applyBorder="1" applyAlignment="1">
      <alignment horizontal="center"/>
    </xf>
    <xf numFmtId="0" fontId="17" fillId="0" borderId="7" xfId="0" applyFont="1" applyFill="1" applyBorder="1" applyAlignment="1">
      <alignment horizontal="center"/>
    </xf>
    <xf numFmtId="0" fontId="17" fillId="0" borderId="8" xfId="0" applyFont="1" applyFill="1" applyBorder="1" applyAlignment="1">
      <alignment horizontal="center"/>
    </xf>
    <xf numFmtId="0" fontId="34" fillId="0" borderId="6" xfId="0" applyFont="1" applyBorder="1" applyAlignment="1">
      <alignment horizontal="center"/>
    </xf>
    <xf numFmtId="0" fontId="13" fillId="0" borderId="6" xfId="0" applyFont="1" applyBorder="1" applyAlignment="1">
      <alignment horizontal="center"/>
    </xf>
    <xf numFmtId="0" fontId="17" fillId="0" borderId="7" xfId="0" applyFont="1" applyBorder="1" applyAlignment="1">
      <alignment horizontal="center"/>
    </xf>
    <xf numFmtId="0" fontId="17" fillId="0" borderId="8" xfId="0" applyFont="1" applyBorder="1" applyAlignment="1">
      <alignment horizontal="center"/>
    </xf>
    <xf numFmtId="0" fontId="14" fillId="18" borderId="0" xfId="0" applyFont="1" applyFill="1" applyAlignment="1">
      <alignment horizontal="center"/>
    </xf>
    <xf numFmtId="0" fontId="14" fillId="17" borderId="0" xfId="0" applyFont="1" applyFill="1" applyBorder="1" applyAlignment="1">
      <alignment horizontal="center" vertical="center"/>
    </xf>
    <xf numFmtId="0" fontId="12" fillId="13" borderId="0" xfId="0" applyFont="1" applyFill="1" applyAlignment="1">
      <alignment horizontal="center" wrapText="1"/>
    </xf>
    <xf numFmtId="0" fontId="14" fillId="18" borderId="0" xfId="0" applyFont="1" applyFill="1" applyAlignment="1">
      <alignment horizontal="center" wrapText="1"/>
    </xf>
    <xf numFmtId="0" fontId="14" fillId="18" borderId="14" xfId="0" applyFont="1" applyFill="1" applyBorder="1" applyAlignment="1">
      <alignment horizontal="center"/>
    </xf>
    <xf numFmtId="0" fontId="14" fillId="18" borderId="0" xfId="0" applyFont="1" applyFill="1" applyBorder="1" applyAlignment="1">
      <alignment horizontal="center"/>
    </xf>
    <xf numFmtId="0" fontId="14" fillId="17" borderId="0" xfId="0" applyFont="1" applyFill="1" applyAlignment="1">
      <alignment horizontal="center" vertical="center"/>
    </xf>
    <xf numFmtId="0" fontId="0" fillId="13" borderId="0" xfId="0" applyFill="1" applyAlignment="1">
      <alignment horizontal="center"/>
    </xf>
    <xf numFmtId="0" fontId="0" fillId="0" borderId="25" xfId="0" applyBorder="1" applyAlignment="1">
      <alignment vertical="center" wrapText="1"/>
    </xf>
    <xf numFmtId="0" fontId="0" fillId="0" borderId="30" xfId="0" applyBorder="1" applyAlignment="1">
      <alignment vertical="center" wrapText="1"/>
    </xf>
    <xf numFmtId="0" fontId="0" fillId="0" borderId="28" xfId="0" applyBorder="1" applyAlignment="1">
      <alignment vertical="center" wrapText="1"/>
    </xf>
    <xf numFmtId="0" fontId="1" fillId="0" borderId="25" xfId="0" applyFont="1" applyBorder="1" applyAlignment="1">
      <alignment horizontal="right" vertical="center" wrapText="1"/>
    </xf>
    <xf numFmtId="0" fontId="1" fillId="0" borderId="28" xfId="0" applyFont="1" applyBorder="1" applyAlignment="1">
      <alignment horizontal="right" vertical="center" wrapText="1"/>
    </xf>
  </cellXfs>
  <cellStyles count="3">
    <cellStyle name="Normal" xfId="0" builtinId="0"/>
    <cellStyle name="Pourcentage" xfId="2" builtinId="5"/>
    <cellStyle name="Titre 1" xfId="1" builtinId="16"/>
  </cellStyles>
  <dxfs count="0"/>
  <tableStyles count="0" defaultTableStyle="TableStyleMedium2" defaultPivotStyle="PivotStyleLight16"/>
  <colors>
    <mruColors>
      <color rgb="FFFFFF66"/>
      <color rgb="FFFFFFB3"/>
      <color rgb="FFECF7F8"/>
      <color rgb="FFF7FCBA"/>
      <color rgb="FFF0F4C2"/>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8.7252405949256429E-2"/>
          <c:y val="5.6030183727034097E-2"/>
          <c:w val="0.73466404199475066"/>
          <c:h val="0.76325240594925636"/>
        </c:manualLayout>
      </c:layout>
      <c:lineChart>
        <c:grouping val="standard"/>
        <c:ser>
          <c:idx val="0"/>
          <c:order val="0"/>
          <c:tx>
            <c:strRef>
              <c:f>'Données d''irradiation'!$J$3</c:f>
              <c:strCache>
                <c:ptCount val="1"/>
                <c:pt idx="0">
                  <c:v>Hh</c:v>
                </c:pt>
              </c:strCache>
            </c:strRef>
          </c:tx>
          <c:marker>
            <c:symbol val="none"/>
          </c:marker>
          <c:cat>
            <c:strRef>
              <c:f>'Données d''irradiation'!$I$4:$I$16</c:f>
              <c:strCache>
                <c:ptCount val="13"/>
                <c:pt idx="0">
                  <c:v>Jan</c:v>
                </c:pt>
                <c:pt idx="1">
                  <c:v>Fev</c:v>
                </c:pt>
                <c:pt idx="2">
                  <c:v>Mar</c:v>
                </c:pt>
                <c:pt idx="3">
                  <c:v>Avr</c:v>
                </c:pt>
                <c:pt idx="4">
                  <c:v>Mai</c:v>
                </c:pt>
                <c:pt idx="5">
                  <c:v>Juin</c:v>
                </c:pt>
                <c:pt idx="6">
                  <c:v>Jui</c:v>
                </c:pt>
                <c:pt idx="7">
                  <c:v>Aug</c:v>
                </c:pt>
                <c:pt idx="8">
                  <c:v>Sep</c:v>
                </c:pt>
                <c:pt idx="9">
                  <c:v>Oct</c:v>
                </c:pt>
                <c:pt idx="10">
                  <c:v>Nov</c:v>
                </c:pt>
                <c:pt idx="11">
                  <c:v>Dec</c:v>
                </c:pt>
                <c:pt idx="12">
                  <c:v>Année</c:v>
                </c:pt>
              </c:strCache>
            </c:strRef>
          </c:cat>
          <c:val>
            <c:numRef>
              <c:f>'Données d''irradiation'!$J$4:$J$16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0-5829-42F8-9622-F95CA2060E53}"/>
            </c:ext>
          </c:extLst>
        </c:ser>
        <c:ser>
          <c:idx val="1"/>
          <c:order val="1"/>
          <c:tx>
            <c:strRef>
              <c:f>'Données d''irradiation'!$K$3</c:f>
              <c:strCache>
                <c:ptCount val="1"/>
                <c:pt idx="0">
                  <c:v>Hopt</c:v>
                </c:pt>
              </c:strCache>
            </c:strRef>
          </c:tx>
          <c:marker>
            <c:symbol val="none"/>
          </c:marker>
          <c:cat>
            <c:strRef>
              <c:f>'Données d''irradiation'!$I$4:$I$16</c:f>
              <c:strCache>
                <c:ptCount val="13"/>
                <c:pt idx="0">
                  <c:v>Jan</c:v>
                </c:pt>
                <c:pt idx="1">
                  <c:v>Fev</c:v>
                </c:pt>
                <c:pt idx="2">
                  <c:v>Mar</c:v>
                </c:pt>
                <c:pt idx="3">
                  <c:v>Avr</c:v>
                </c:pt>
                <c:pt idx="4">
                  <c:v>Mai</c:v>
                </c:pt>
                <c:pt idx="5">
                  <c:v>Juin</c:v>
                </c:pt>
                <c:pt idx="6">
                  <c:v>Jui</c:v>
                </c:pt>
                <c:pt idx="7">
                  <c:v>Aug</c:v>
                </c:pt>
                <c:pt idx="8">
                  <c:v>Sep</c:v>
                </c:pt>
                <c:pt idx="9">
                  <c:v>Oct</c:v>
                </c:pt>
                <c:pt idx="10">
                  <c:v>Nov</c:v>
                </c:pt>
                <c:pt idx="11">
                  <c:v>Dec</c:v>
                </c:pt>
                <c:pt idx="12">
                  <c:v>Année</c:v>
                </c:pt>
              </c:strCache>
            </c:strRef>
          </c:cat>
          <c:val>
            <c:numRef>
              <c:f>'Données d''irradiation'!$K$4:$K$16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1-5829-42F8-9622-F95CA2060E53}"/>
            </c:ext>
          </c:extLst>
        </c:ser>
        <c:ser>
          <c:idx val="2"/>
          <c:order val="2"/>
          <c:tx>
            <c:strRef>
              <c:f>'Données d''irradiation'!$L$3</c:f>
              <c:strCache>
                <c:ptCount val="1"/>
                <c:pt idx="0">
                  <c:v>Hin </c:v>
                </c:pt>
              </c:strCache>
            </c:strRef>
          </c:tx>
          <c:marker>
            <c:symbol val="none"/>
          </c:marker>
          <c:cat>
            <c:strRef>
              <c:f>'Données d''irradiation'!$I$4:$I$16</c:f>
              <c:strCache>
                <c:ptCount val="13"/>
                <c:pt idx="0">
                  <c:v>Jan</c:v>
                </c:pt>
                <c:pt idx="1">
                  <c:v>Fev</c:v>
                </c:pt>
                <c:pt idx="2">
                  <c:v>Mar</c:v>
                </c:pt>
                <c:pt idx="3">
                  <c:v>Avr</c:v>
                </c:pt>
                <c:pt idx="4">
                  <c:v>Mai</c:v>
                </c:pt>
                <c:pt idx="5">
                  <c:v>Juin</c:v>
                </c:pt>
                <c:pt idx="6">
                  <c:v>Jui</c:v>
                </c:pt>
                <c:pt idx="7">
                  <c:v>Aug</c:v>
                </c:pt>
                <c:pt idx="8">
                  <c:v>Sep</c:v>
                </c:pt>
                <c:pt idx="9">
                  <c:v>Oct</c:v>
                </c:pt>
                <c:pt idx="10">
                  <c:v>Nov</c:v>
                </c:pt>
                <c:pt idx="11">
                  <c:v>Dec</c:v>
                </c:pt>
                <c:pt idx="12">
                  <c:v>Année</c:v>
                </c:pt>
              </c:strCache>
            </c:strRef>
          </c:cat>
          <c:val>
            <c:numRef>
              <c:f>'Données d''irradiation'!$L$4:$L$16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2-5829-42F8-9622-F95CA2060E53}"/>
            </c:ext>
          </c:extLst>
        </c:ser>
        <c:marker val="1"/>
        <c:axId val="96709248"/>
        <c:axId val="96743808"/>
      </c:lineChart>
      <c:catAx>
        <c:axId val="96709248"/>
        <c:scaling>
          <c:orientation val="minMax"/>
        </c:scaling>
        <c:axPos val="b"/>
        <c:numFmt formatCode="General" sourceLinked="0"/>
        <c:tickLblPos val="nextTo"/>
        <c:crossAx val="96743808"/>
        <c:crosses val="autoZero"/>
        <c:auto val="1"/>
        <c:lblAlgn val="ctr"/>
        <c:lblOffset val="100"/>
      </c:catAx>
      <c:valAx>
        <c:axId val="96743808"/>
        <c:scaling>
          <c:orientation val="minMax"/>
        </c:scaling>
        <c:axPos val="l"/>
        <c:majorGridlines/>
        <c:numFmt formatCode="General" sourceLinked="1"/>
        <c:tickLblPos val="nextTo"/>
        <c:crossAx val="96709248"/>
        <c:crosses val="autoZero"/>
        <c:crossBetween val="between"/>
      </c:valAx>
    </c:plotArea>
    <c:legend>
      <c:legendPos val="r"/>
      <c:layout/>
    </c:legend>
    <c:plotVisOnly val="1"/>
    <c:dispBlanksAs val="gap"/>
  </c:chart>
  <c:spPr>
    <a:solidFill>
      <a:schemeClr val="accent6">
        <a:lumMod val="40000"/>
        <a:lumOff val="60000"/>
      </a:schemeClr>
    </a:solidFill>
  </c:sp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ser>
          <c:idx val="0"/>
          <c:order val="0"/>
          <c:tx>
            <c:strRef>
              <c:f>Rapport!$F$34</c:f>
              <c:strCache>
                <c:ptCount val="1"/>
                <c:pt idx="0">
                  <c:v>Production du champ PV (kWh/jour)</c:v>
                </c:pt>
              </c:strCache>
            </c:strRef>
          </c:tx>
          <c:spPr>
            <a:solidFill>
              <a:schemeClr val="accent1"/>
            </a:solidFill>
            <a:ln>
              <a:noFill/>
            </a:ln>
            <a:effectLst/>
          </c:spPr>
          <c:cat>
            <c:strRef>
              <c:f>Rapport!$E$35:$E$46</c:f>
              <c:strCache>
                <c:ptCount val="12"/>
                <c:pt idx="0">
                  <c:v>Jan</c:v>
                </c:pt>
                <c:pt idx="1">
                  <c:v>Fev</c:v>
                </c:pt>
                <c:pt idx="2">
                  <c:v>Mars</c:v>
                </c:pt>
                <c:pt idx="3">
                  <c:v>Avr</c:v>
                </c:pt>
                <c:pt idx="4">
                  <c:v>Mai</c:v>
                </c:pt>
                <c:pt idx="5">
                  <c:v>Juin</c:v>
                </c:pt>
                <c:pt idx="6">
                  <c:v>Juil</c:v>
                </c:pt>
                <c:pt idx="7">
                  <c:v>Août</c:v>
                </c:pt>
                <c:pt idx="8">
                  <c:v>Sept</c:v>
                </c:pt>
                <c:pt idx="9">
                  <c:v>Oct</c:v>
                </c:pt>
                <c:pt idx="10">
                  <c:v>Nov</c:v>
                </c:pt>
                <c:pt idx="11">
                  <c:v>Dec</c:v>
                </c:pt>
              </c:strCache>
            </c:strRef>
          </c:cat>
          <c:val>
            <c:numRef>
              <c:f>Rapport!$F$35:$F$46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1BC7-4027-AA6C-7B95B1FDA17E}"/>
            </c:ext>
          </c:extLst>
        </c:ser>
        <c:ser>
          <c:idx val="1"/>
          <c:order val="1"/>
          <c:tx>
            <c:strRef>
              <c:f>Rapport!$G$34</c:f>
              <c:strCache>
                <c:ptCount val="1"/>
                <c:pt idx="0">
                  <c:v>Besion à couvrir (kWh/jour)</c:v>
                </c:pt>
              </c:strCache>
            </c:strRef>
          </c:tx>
          <c:spPr>
            <a:solidFill>
              <a:schemeClr val="accent2"/>
            </a:solidFill>
            <a:ln>
              <a:noFill/>
            </a:ln>
            <a:effectLst/>
          </c:spPr>
          <c:cat>
            <c:strRef>
              <c:f>Rapport!$E$35:$E$46</c:f>
              <c:strCache>
                <c:ptCount val="12"/>
                <c:pt idx="0">
                  <c:v>Jan</c:v>
                </c:pt>
                <c:pt idx="1">
                  <c:v>Fev</c:v>
                </c:pt>
                <c:pt idx="2">
                  <c:v>Mars</c:v>
                </c:pt>
                <c:pt idx="3">
                  <c:v>Avr</c:v>
                </c:pt>
                <c:pt idx="4">
                  <c:v>Mai</c:v>
                </c:pt>
                <c:pt idx="5">
                  <c:v>Juin</c:v>
                </c:pt>
                <c:pt idx="6">
                  <c:v>Juil</c:v>
                </c:pt>
                <c:pt idx="7">
                  <c:v>Août</c:v>
                </c:pt>
                <c:pt idx="8">
                  <c:v>Sept</c:v>
                </c:pt>
                <c:pt idx="9">
                  <c:v>Oct</c:v>
                </c:pt>
                <c:pt idx="10">
                  <c:v>Nov</c:v>
                </c:pt>
                <c:pt idx="11">
                  <c:v>Dec</c:v>
                </c:pt>
              </c:strCache>
            </c:strRef>
          </c:cat>
          <c:val>
            <c:numRef>
              <c:f>Rapport!$G$35:$G$46</c:f>
              <c:numCache>
                <c:formatCode>General</c:formatCode>
                <c:ptCount val="12"/>
                <c:pt idx="0">
                  <c:v>34.353599999999993</c:v>
                </c:pt>
                <c:pt idx="1">
                  <c:v>34.353599999999993</c:v>
                </c:pt>
                <c:pt idx="2">
                  <c:v>34.353599999999993</c:v>
                </c:pt>
                <c:pt idx="3">
                  <c:v>34.353599999999993</c:v>
                </c:pt>
                <c:pt idx="4">
                  <c:v>34.353599999999993</c:v>
                </c:pt>
                <c:pt idx="5">
                  <c:v>34.353599999999993</c:v>
                </c:pt>
                <c:pt idx="6">
                  <c:v>34.353599999999993</c:v>
                </c:pt>
                <c:pt idx="7">
                  <c:v>34.353599999999993</c:v>
                </c:pt>
                <c:pt idx="8">
                  <c:v>34.353599999999993</c:v>
                </c:pt>
                <c:pt idx="9">
                  <c:v>34.353599999999993</c:v>
                </c:pt>
                <c:pt idx="10">
                  <c:v>34.353599999999993</c:v>
                </c:pt>
                <c:pt idx="11">
                  <c:v>34.353599999999993</c:v>
                </c:pt>
              </c:numCache>
            </c:numRef>
          </c:val>
          <c:extLst xmlns:c16r2="http://schemas.microsoft.com/office/drawing/2015/06/chart">
            <c:ext xmlns:c16="http://schemas.microsoft.com/office/drawing/2014/chart" uri="{C3380CC4-5D6E-409C-BE32-E72D297353CC}">
              <c16:uniqueId val="{00000001-1BC7-4027-AA6C-7B95B1FDA17E}"/>
            </c:ext>
          </c:extLst>
        </c:ser>
        <c:axId val="121517568"/>
        <c:axId val="121519104"/>
      </c:barChart>
      <c:lineChart>
        <c:grouping val="standard"/>
        <c:ser>
          <c:idx val="2"/>
          <c:order val="2"/>
          <c:tx>
            <c:strRef>
              <c:f>Rapport!$H$34</c:f>
              <c:strCache>
                <c:ptCount val="1"/>
                <c:pt idx="0">
                  <c:v>Irradiation du site (kWh/m²/jour)</c:v>
                </c:pt>
              </c:strCache>
            </c:strRef>
          </c:tx>
          <c:spPr>
            <a:ln w="28575" cap="rnd">
              <a:solidFill>
                <a:schemeClr val="accent3"/>
              </a:solidFill>
              <a:round/>
            </a:ln>
            <a:effectLst/>
          </c:spPr>
          <c:marker>
            <c:symbol val="none"/>
          </c:marker>
          <c:cat>
            <c:strRef>
              <c:f>Rapport!$E$35:$E$46</c:f>
              <c:strCache>
                <c:ptCount val="12"/>
                <c:pt idx="0">
                  <c:v>Jan</c:v>
                </c:pt>
                <c:pt idx="1">
                  <c:v>Fev</c:v>
                </c:pt>
                <c:pt idx="2">
                  <c:v>Mars</c:v>
                </c:pt>
                <c:pt idx="3">
                  <c:v>Avr</c:v>
                </c:pt>
                <c:pt idx="4">
                  <c:v>Mai</c:v>
                </c:pt>
                <c:pt idx="5">
                  <c:v>Juin</c:v>
                </c:pt>
                <c:pt idx="6">
                  <c:v>Juil</c:v>
                </c:pt>
                <c:pt idx="7">
                  <c:v>Août</c:v>
                </c:pt>
                <c:pt idx="8">
                  <c:v>Sept</c:v>
                </c:pt>
                <c:pt idx="9">
                  <c:v>Oct</c:v>
                </c:pt>
                <c:pt idx="10">
                  <c:v>Nov</c:v>
                </c:pt>
                <c:pt idx="11">
                  <c:v>Dec</c:v>
                </c:pt>
              </c:strCache>
            </c:strRef>
          </c:cat>
          <c:val>
            <c:numRef>
              <c:f>Rapport!$H$35:$H$46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1BC7-4027-AA6C-7B95B1FDA17E}"/>
            </c:ext>
          </c:extLst>
        </c:ser>
        <c:marker val="1"/>
        <c:axId val="121534720"/>
        <c:axId val="121533184"/>
      </c:lineChart>
      <c:catAx>
        <c:axId val="12151756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1519104"/>
        <c:crosses val="autoZero"/>
        <c:auto val="1"/>
        <c:lblAlgn val="ctr"/>
        <c:lblOffset val="100"/>
      </c:catAx>
      <c:valAx>
        <c:axId val="12151910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1517568"/>
        <c:crosses val="autoZero"/>
        <c:crossBetween val="between"/>
      </c:valAx>
      <c:valAx>
        <c:axId val="121533184"/>
        <c:scaling>
          <c:orientation val="minMax"/>
        </c:scaling>
        <c:axPos val="r"/>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1534720"/>
        <c:crosses val="max"/>
        <c:crossBetween val="between"/>
      </c:valAx>
      <c:catAx>
        <c:axId val="121534720"/>
        <c:scaling>
          <c:orientation val="minMax"/>
        </c:scaling>
        <c:delete val="1"/>
        <c:axPos val="b"/>
        <c:numFmt formatCode="General" sourceLinked="1"/>
        <c:tickLblPos val="nextTo"/>
        <c:crossAx val="121533184"/>
        <c:crosses val="autoZero"/>
        <c:auto val="1"/>
        <c:lblAlgn val="ctr"/>
        <c:lblOffset val="100"/>
      </c:catAx>
      <c:spPr>
        <a:solidFill>
          <a:schemeClr val="bg1"/>
        </a:solidFill>
        <a:ln>
          <a:noFill/>
        </a:ln>
        <a:effectLst/>
      </c:spPr>
    </c:plotArea>
    <c:legend>
      <c:legendPos val="b"/>
      <c:layout/>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chart>
  <c:spPr>
    <a:solidFill>
      <a:schemeClr val="tx2">
        <a:lumMod val="20000"/>
        <a:lumOff val="80000"/>
      </a:schemeClr>
    </a:solidFill>
    <a:ln w="9525" cap="flat" cmpd="sng" algn="ctr">
      <a:solidFill>
        <a:schemeClr val="tx2">
          <a:lumMod val="40000"/>
          <a:lumOff val="60000"/>
        </a:schemeClr>
      </a:solidFill>
      <a:round/>
    </a:ln>
    <a:effectLst/>
  </c:spPr>
  <c:txPr>
    <a:bodyPr/>
    <a:lstStyle/>
    <a:p>
      <a:pPr>
        <a:defRPr/>
      </a:pPr>
      <a:endParaRPr lang="fr-FR"/>
    </a:p>
  </c:txPr>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Donn&#233;es du site'!A1"/><Relationship Id="rId13" Type="http://schemas.openxmlformats.org/officeDocument/2006/relationships/image" Target="../media/image4.png"/><Relationship Id="rId18" Type="http://schemas.openxmlformats.org/officeDocument/2006/relationships/hyperlink" Target="#'C&#226;blage et protection'!A1"/><Relationship Id="rId26" Type="http://schemas.openxmlformats.org/officeDocument/2006/relationships/image" Target="../media/image10.png"/><Relationship Id="rId3" Type="http://schemas.openxmlformats.org/officeDocument/2006/relationships/hyperlink" Target="#'Donn&#233;es d''irradiation'!A1"/><Relationship Id="rId21" Type="http://schemas.openxmlformats.org/officeDocument/2006/relationships/hyperlink" Target="#'Donn&#233;es du site'!A1"/><Relationship Id="rId34" Type="http://schemas.openxmlformats.org/officeDocument/2006/relationships/hyperlink" Target="#'Estimation financi&#232;re'!A1"/><Relationship Id="rId7" Type="http://schemas.openxmlformats.org/officeDocument/2006/relationships/image" Target="../media/image1.png"/><Relationship Id="rId12" Type="http://schemas.openxmlformats.org/officeDocument/2006/relationships/hyperlink" Target="#'Economie d''&#233;nergie'!A1"/><Relationship Id="rId17" Type="http://schemas.openxmlformats.org/officeDocument/2006/relationships/image" Target="../media/image6.jpeg"/><Relationship Id="rId25" Type="http://schemas.openxmlformats.org/officeDocument/2006/relationships/hyperlink" Target="#'Economie d''&#233;nergie'!A1"/><Relationship Id="rId33" Type="http://schemas.openxmlformats.org/officeDocument/2006/relationships/image" Target="../media/image13.png"/><Relationship Id="rId2" Type="http://schemas.openxmlformats.org/officeDocument/2006/relationships/hyperlink" Target="#C&#226;blage!A1"/><Relationship Id="rId16" Type="http://schemas.openxmlformats.org/officeDocument/2006/relationships/hyperlink" Target="#Aide!A1"/><Relationship Id="rId20" Type="http://schemas.openxmlformats.org/officeDocument/2006/relationships/hyperlink" Target="Consignation%20de%20donn&#233;es%20PV.pdf" TargetMode="External"/><Relationship Id="rId29" Type="http://schemas.openxmlformats.org/officeDocument/2006/relationships/hyperlink" Target="#'Syst&#232;me PV'!A1"/><Relationship Id="rId1" Type="http://schemas.openxmlformats.org/officeDocument/2006/relationships/hyperlink" Target="#Aide!A1"/><Relationship Id="rId6" Type="http://schemas.openxmlformats.org/officeDocument/2006/relationships/hyperlink" Target="#'Donn&#233;es du site'!A1"/><Relationship Id="rId11" Type="http://schemas.openxmlformats.org/officeDocument/2006/relationships/image" Target="../media/image3.jpeg"/><Relationship Id="rId24" Type="http://schemas.openxmlformats.org/officeDocument/2006/relationships/image" Target="../media/image9.png"/><Relationship Id="rId32" Type="http://schemas.openxmlformats.org/officeDocument/2006/relationships/hyperlink" Target="#Aide!A1"/><Relationship Id="rId37" Type="http://schemas.openxmlformats.org/officeDocument/2006/relationships/hyperlink" Target="#'C&#226;blage et protection'!A1"/><Relationship Id="rId5" Type="http://schemas.openxmlformats.org/officeDocument/2006/relationships/hyperlink" Target="#'Besoin &#233;lectrique'!A1"/><Relationship Id="rId15" Type="http://schemas.openxmlformats.org/officeDocument/2006/relationships/image" Target="../media/image5.png"/><Relationship Id="rId23" Type="http://schemas.openxmlformats.org/officeDocument/2006/relationships/hyperlink" Target="#'Besoin &#233;lectrique'!A1"/><Relationship Id="rId28" Type="http://schemas.openxmlformats.org/officeDocument/2006/relationships/image" Target="../media/image11.png"/><Relationship Id="rId36" Type="http://schemas.openxmlformats.org/officeDocument/2006/relationships/hyperlink" Target="#'Estimation financi&#232;re'!A1"/><Relationship Id="rId10" Type="http://schemas.openxmlformats.org/officeDocument/2006/relationships/hyperlink" Target="#'Besoin &#233;lectrique'!A1"/><Relationship Id="rId19" Type="http://schemas.openxmlformats.org/officeDocument/2006/relationships/image" Target="../media/image7.jpeg"/><Relationship Id="rId31" Type="http://schemas.openxmlformats.org/officeDocument/2006/relationships/image" Target="../media/image12.jpeg"/><Relationship Id="rId4" Type="http://schemas.openxmlformats.org/officeDocument/2006/relationships/hyperlink" Target="#'Economie d''&#233;nergie'!A1"/><Relationship Id="rId9" Type="http://schemas.openxmlformats.org/officeDocument/2006/relationships/image" Target="../media/image2.jpeg"/><Relationship Id="rId14" Type="http://schemas.openxmlformats.org/officeDocument/2006/relationships/hyperlink" Target="#'Donn&#233;es d''irradiation'!A1"/><Relationship Id="rId22" Type="http://schemas.openxmlformats.org/officeDocument/2006/relationships/image" Target="../media/image8.png"/><Relationship Id="rId27" Type="http://schemas.openxmlformats.org/officeDocument/2006/relationships/hyperlink" Target="#'Donn&#233;es d''irradiation'!A1"/><Relationship Id="rId30" Type="http://schemas.openxmlformats.org/officeDocument/2006/relationships/hyperlink" Target="#'Syst&#232;me PV'!A1"/><Relationship Id="rId35" Type="http://schemas.openxmlformats.org/officeDocument/2006/relationships/hyperlink" Target="#'Estimation financiaire'!A1"/></Relationships>
</file>

<file path=xl/drawings/_rels/drawing2.xml.rels><?xml version="1.0" encoding="UTF-8" standalone="yes"?>
<Relationships xmlns="http://schemas.openxmlformats.org/package/2006/relationships"><Relationship Id="rId3" Type="http://schemas.openxmlformats.org/officeDocument/2006/relationships/hyperlink" Target="#'Donn&#233;es du site'!A1"/><Relationship Id="rId2" Type="http://schemas.openxmlformats.org/officeDocument/2006/relationships/image" Target="../media/image15.jpeg"/><Relationship Id="rId1" Type="http://schemas.openxmlformats.org/officeDocument/2006/relationships/hyperlink" Target="#'237 ES.Calcul'!A1"/><Relationship Id="rId4" Type="http://schemas.openxmlformats.org/officeDocument/2006/relationships/hyperlink" Target="#'Economie d''&#233;nergie'!A1"/></Relationships>
</file>

<file path=xl/drawings/_rels/drawing3.xml.rels><?xml version="1.0" encoding="UTF-8" standalone="yes"?>
<Relationships xmlns="http://schemas.openxmlformats.org/package/2006/relationships"><Relationship Id="rId3" Type="http://schemas.openxmlformats.org/officeDocument/2006/relationships/hyperlink" Target="#'Besoin &#233;lectrique'!A1"/><Relationship Id="rId2" Type="http://schemas.openxmlformats.org/officeDocument/2006/relationships/image" Target="../media/image15.jpeg"/><Relationship Id="rId1" Type="http://schemas.openxmlformats.org/officeDocument/2006/relationships/hyperlink" Target="#'237 ES.Calcul'!A1"/><Relationship Id="rId4" Type="http://schemas.openxmlformats.org/officeDocument/2006/relationships/hyperlink" Target="#'Donn&#233;es d''irradiation'!A1"/></Relationships>
</file>

<file path=xl/drawings/_rels/drawing4.xml.rels><?xml version="1.0" encoding="UTF-8" standalone="yes"?>
<Relationships xmlns="http://schemas.openxmlformats.org/package/2006/relationships"><Relationship Id="rId3" Type="http://schemas.openxmlformats.org/officeDocument/2006/relationships/hyperlink" Target="#'Besoin &#233;lectrique'!A1"/><Relationship Id="rId2" Type="http://schemas.openxmlformats.org/officeDocument/2006/relationships/image" Target="../media/image15.jpeg"/><Relationship Id="rId1" Type="http://schemas.openxmlformats.org/officeDocument/2006/relationships/hyperlink" Target="#'237 ES.Calcul'!A1"/></Relationships>
</file>

<file path=xl/drawings/_rels/drawing5.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hyperlink" Target="#'237 ES.Calcul'!A1"/><Relationship Id="rId1" Type="http://schemas.openxmlformats.org/officeDocument/2006/relationships/chart" Target="../charts/chart1.xml"/><Relationship Id="rId5" Type="http://schemas.openxmlformats.org/officeDocument/2006/relationships/hyperlink" Target="#'Economie d''&#233;nergie'!A1"/><Relationship Id="rId4" Type="http://schemas.openxmlformats.org/officeDocument/2006/relationships/hyperlink" Target="#'Syst&#232;me PV'!A1"/></Relationships>
</file>

<file path=xl/drawings/_rels/drawing6.xml.rels><?xml version="1.0" encoding="UTF-8" standalone="yes"?>
<Relationships xmlns="http://schemas.openxmlformats.org/package/2006/relationships"><Relationship Id="rId3" Type="http://schemas.openxmlformats.org/officeDocument/2006/relationships/hyperlink" Target="#Rapport!A1"/><Relationship Id="rId2" Type="http://schemas.openxmlformats.org/officeDocument/2006/relationships/image" Target="../media/image15.jpeg"/><Relationship Id="rId1" Type="http://schemas.openxmlformats.org/officeDocument/2006/relationships/hyperlink" Target="#'237 ES.Calcul'!A1"/><Relationship Id="rId5" Type="http://schemas.openxmlformats.org/officeDocument/2006/relationships/hyperlink" Target="#'Donn&#233;es d''irradiation'!A1"/><Relationship Id="rId4" Type="http://schemas.openxmlformats.org/officeDocument/2006/relationships/hyperlink" Target="#C&#226;blage!A1"/></Relationships>
</file>

<file path=xl/drawings/_rels/drawing7.xml.rels><?xml version="1.0" encoding="UTF-8" standalone="yes"?>
<Relationships xmlns="http://schemas.openxmlformats.org/package/2006/relationships"><Relationship Id="rId3" Type="http://schemas.openxmlformats.org/officeDocument/2006/relationships/hyperlink" Target="#'Syst&#232;me PV'!A1"/><Relationship Id="rId2" Type="http://schemas.openxmlformats.org/officeDocument/2006/relationships/image" Target="../media/image15.jpeg"/><Relationship Id="rId1" Type="http://schemas.openxmlformats.org/officeDocument/2006/relationships/hyperlink" Target="#'237 ES.Calcul'!A1"/></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14</xdr:col>
      <xdr:colOff>38100</xdr:colOff>
      <xdr:row>21</xdr:row>
      <xdr:rowOff>180975</xdr:rowOff>
    </xdr:from>
    <xdr:to>
      <xdr:col>16</xdr:col>
      <xdr:colOff>19050</xdr:colOff>
      <xdr:row>24</xdr:row>
      <xdr:rowOff>180975</xdr:rowOff>
    </xdr:to>
    <xdr:sp macro="" textlink="">
      <xdr:nvSpPr>
        <xdr:cNvPr id="56" name="Rectangle à coins arrondis 55">
          <a:hlinkClick xmlns:r="http://schemas.openxmlformats.org/officeDocument/2006/relationships" r:id="rId1" tooltip="Cliquer pour obtenir de l'aide"/>
        </xdr:cNvPr>
        <xdr:cNvSpPr/>
      </xdr:nvSpPr>
      <xdr:spPr>
        <a:xfrm>
          <a:off x="10706100" y="4181475"/>
          <a:ext cx="1504950"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13</xdr:col>
      <xdr:colOff>390525</xdr:colOff>
      <xdr:row>14</xdr:row>
      <xdr:rowOff>114300</xdr:rowOff>
    </xdr:from>
    <xdr:to>
      <xdr:col>16</xdr:col>
      <xdr:colOff>276225</xdr:colOff>
      <xdr:row>17</xdr:row>
      <xdr:rowOff>114300</xdr:rowOff>
    </xdr:to>
    <xdr:sp macro="" textlink="">
      <xdr:nvSpPr>
        <xdr:cNvPr id="54" name="Rectangle à coins arrondis 53">
          <a:hlinkClick xmlns:r="http://schemas.openxmlformats.org/officeDocument/2006/relationships" r:id="rId2" tooltip="Cliquer pour aller à la feuille de dimensionnement des câbles"/>
        </xdr:cNvPr>
        <xdr:cNvSpPr/>
      </xdr:nvSpPr>
      <xdr:spPr>
        <a:xfrm>
          <a:off x="10296525" y="2781300"/>
          <a:ext cx="2171700"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13</xdr:col>
      <xdr:colOff>409575</xdr:colOff>
      <xdr:row>11</xdr:row>
      <xdr:rowOff>38100</xdr:rowOff>
    </xdr:from>
    <xdr:to>
      <xdr:col>16</xdr:col>
      <xdr:colOff>285750</xdr:colOff>
      <xdr:row>14</xdr:row>
      <xdr:rowOff>38100</xdr:rowOff>
    </xdr:to>
    <xdr:sp macro="" textlink="">
      <xdr:nvSpPr>
        <xdr:cNvPr id="45" name="Rectangle à coins arrondis 44">
          <a:hlinkClick xmlns:r="http://schemas.openxmlformats.org/officeDocument/2006/relationships" r:id="rId3" tooltip="Cliquer pour aller à la feuille des données  d'irradiation"/>
        </xdr:cNvPr>
        <xdr:cNvSpPr/>
      </xdr:nvSpPr>
      <xdr:spPr>
        <a:xfrm>
          <a:off x="10315575" y="2133600"/>
          <a:ext cx="2162175"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10</xdr:col>
      <xdr:colOff>476250</xdr:colOff>
      <xdr:row>11</xdr:row>
      <xdr:rowOff>38100</xdr:rowOff>
    </xdr:from>
    <xdr:to>
      <xdr:col>13</xdr:col>
      <xdr:colOff>171451</xdr:colOff>
      <xdr:row>14</xdr:row>
      <xdr:rowOff>38100</xdr:rowOff>
    </xdr:to>
    <xdr:sp macro="" textlink="">
      <xdr:nvSpPr>
        <xdr:cNvPr id="39" name="Rectangle à coins arrondis 38">
          <a:hlinkClick xmlns:r="http://schemas.openxmlformats.org/officeDocument/2006/relationships" r:id="rId4" tooltip="Cliquer pour aller à la feuille économie d'énergie"/>
        </xdr:cNvPr>
        <xdr:cNvSpPr/>
      </xdr:nvSpPr>
      <xdr:spPr>
        <a:xfrm>
          <a:off x="8096250" y="2133600"/>
          <a:ext cx="1981201"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13</xdr:col>
      <xdr:colOff>447675</xdr:colOff>
      <xdr:row>7</xdr:row>
      <xdr:rowOff>161925</xdr:rowOff>
    </xdr:from>
    <xdr:to>
      <xdr:col>16</xdr:col>
      <xdr:colOff>285750</xdr:colOff>
      <xdr:row>10</xdr:row>
      <xdr:rowOff>161925</xdr:rowOff>
    </xdr:to>
    <xdr:sp macro="" textlink="">
      <xdr:nvSpPr>
        <xdr:cNvPr id="29" name="Rectangle à coins arrondis 28">
          <a:hlinkClick xmlns:r="http://schemas.openxmlformats.org/officeDocument/2006/relationships" r:id="rId5" tooltip="Cliquer pour aller à la feuille de détermination des Besoins électrique"/>
        </xdr:cNvPr>
        <xdr:cNvSpPr/>
      </xdr:nvSpPr>
      <xdr:spPr>
        <a:xfrm>
          <a:off x="10353675" y="1495425"/>
          <a:ext cx="2124075"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10</xdr:col>
      <xdr:colOff>495300</xdr:colOff>
      <xdr:row>7</xdr:row>
      <xdr:rowOff>161925</xdr:rowOff>
    </xdr:from>
    <xdr:to>
      <xdr:col>13</xdr:col>
      <xdr:colOff>190501</xdr:colOff>
      <xdr:row>10</xdr:row>
      <xdr:rowOff>161925</xdr:rowOff>
    </xdr:to>
    <xdr:sp macro="" textlink="">
      <xdr:nvSpPr>
        <xdr:cNvPr id="13" name="Rectangle à coins arrondis 12">
          <a:hlinkClick xmlns:r="http://schemas.openxmlformats.org/officeDocument/2006/relationships" r:id="rId6" tooltip="Cliquer pour aller à la feuille de données du site"/>
        </xdr:cNvPr>
        <xdr:cNvSpPr/>
      </xdr:nvSpPr>
      <xdr:spPr>
        <a:xfrm>
          <a:off x="8115300" y="1495425"/>
          <a:ext cx="1981201" cy="571500"/>
        </a:xfrm>
        <a:prstGeom prst="roundRect">
          <a:avLst/>
        </a:prstGeom>
        <a:gradFill>
          <a:gsLst>
            <a:gs pos="0">
              <a:schemeClr val="tx2">
                <a:lumMod val="40000"/>
                <a:lumOff val="60000"/>
              </a:schemeClr>
            </a:gs>
            <a:gs pos="80000">
              <a:schemeClr val="accent5">
                <a:shade val="93000"/>
                <a:satMod val="130000"/>
              </a:schemeClr>
            </a:gs>
            <a:gs pos="100000">
              <a:schemeClr val="accent5">
                <a:shade val="94000"/>
                <a:satMod val="135000"/>
              </a:schemeClr>
            </a:gs>
          </a:gsLst>
        </a:gradFill>
        <a:ln w="28575">
          <a:solidFill>
            <a:schemeClr val="bg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19050</xdr:colOff>
      <xdr:row>0</xdr:row>
      <xdr:rowOff>9525</xdr:rowOff>
    </xdr:from>
    <xdr:to>
      <xdr:col>3</xdr:col>
      <xdr:colOff>9525</xdr:colOff>
      <xdr:row>4</xdr:row>
      <xdr:rowOff>171450</xdr:rowOff>
    </xdr:to>
    <xdr:sp macro="" textlink="">
      <xdr:nvSpPr>
        <xdr:cNvPr id="2" name="Rectangle 1"/>
        <xdr:cNvSpPr/>
      </xdr:nvSpPr>
      <xdr:spPr>
        <a:xfrm>
          <a:off x="19050" y="9525"/>
          <a:ext cx="2276475" cy="923925"/>
        </a:xfrm>
        <a:prstGeom prst="rect">
          <a:avLst/>
        </a:prstGeom>
        <a:solidFill>
          <a:schemeClr val="bg1"/>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aaaaaaaaaaaaaaaaaaaaaaaaaaaaaaaaaaaaaaaaaaaaaaaaaaaaaaaaaaaaaa</a:t>
          </a:r>
        </a:p>
      </xdr:txBody>
    </xdr:sp>
    <xdr:clientData/>
  </xdr:twoCellAnchor>
  <xdr:twoCellAnchor>
    <xdr:from>
      <xdr:col>13</xdr:col>
      <xdr:colOff>419100</xdr:colOff>
      <xdr:row>0</xdr:row>
      <xdr:rowOff>19844</xdr:rowOff>
    </xdr:from>
    <xdr:to>
      <xdr:col>16</xdr:col>
      <xdr:colOff>314325</xdr:colOff>
      <xdr:row>4</xdr:row>
      <xdr:rowOff>181769</xdr:rowOff>
    </xdr:to>
    <xdr:sp macro="" textlink="">
      <xdr:nvSpPr>
        <xdr:cNvPr id="5" name="Rectangle 4"/>
        <xdr:cNvSpPr/>
      </xdr:nvSpPr>
      <xdr:spPr>
        <a:xfrm>
          <a:off x="10325100" y="19844"/>
          <a:ext cx="2181225" cy="923925"/>
        </a:xfrm>
        <a:prstGeom prst="rect">
          <a:avLst/>
        </a:prstGeom>
        <a:solidFill>
          <a:sysClr val="window" lastClr="FFFFFF"/>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13</xdr:col>
      <xdr:colOff>504825</xdr:colOff>
      <xdr:row>0</xdr:row>
      <xdr:rowOff>57150</xdr:rowOff>
    </xdr:from>
    <xdr:to>
      <xdr:col>16</xdr:col>
      <xdr:colOff>257174</xdr:colOff>
      <xdr:row>4</xdr:row>
      <xdr:rowOff>142875</xdr:rowOff>
    </xdr:to>
    <xdr:pic>
      <xdr:nvPicPr>
        <xdr:cNvPr id="7" name="Image 6"/>
        <xdr:cNvPicPr>
          <a:picLocks noChangeAspect="1"/>
        </xdr:cNvPicPr>
      </xdr:nvPicPr>
      <xdr:blipFill>
        <a:blip xmlns:r="http://schemas.openxmlformats.org/officeDocument/2006/relationships" r:embed="rId7"/>
        <a:stretch>
          <a:fillRect/>
        </a:stretch>
      </xdr:blipFill>
      <xdr:spPr>
        <a:xfrm>
          <a:off x="10410825" y="57150"/>
          <a:ext cx="2038349" cy="847725"/>
        </a:xfrm>
        <a:prstGeom prst="rect">
          <a:avLst/>
        </a:prstGeom>
      </xdr:spPr>
    </xdr:pic>
    <xdr:clientData/>
  </xdr:twoCellAnchor>
  <xdr:twoCellAnchor>
    <xdr:from>
      <xdr:col>3</xdr:col>
      <xdr:colOff>57150</xdr:colOff>
      <xdr:row>0</xdr:row>
      <xdr:rowOff>57149</xdr:rowOff>
    </xdr:from>
    <xdr:to>
      <xdr:col>13</xdr:col>
      <xdr:colOff>352425</xdr:colOff>
      <xdr:row>4</xdr:row>
      <xdr:rowOff>142874</xdr:rowOff>
    </xdr:to>
    <xdr:sp macro="" textlink="">
      <xdr:nvSpPr>
        <xdr:cNvPr id="8" name="ZoneTexte 7"/>
        <xdr:cNvSpPr txBox="1"/>
      </xdr:nvSpPr>
      <xdr:spPr>
        <a:xfrm>
          <a:off x="2343150" y="57149"/>
          <a:ext cx="7915275" cy="847725"/>
        </a:xfrm>
        <a:prstGeom prst="rect">
          <a:avLst/>
        </a:prstGeom>
        <a:solidFill>
          <a:schemeClr val="accent1">
            <a:lumMod val="20000"/>
            <a:lumOff val="80000"/>
          </a:schemeClr>
        </a:solidFill>
        <a:ln w="9525" cmpd="sng">
          <a:solidFill>
            <a:schemeClr val="accent3"/>
          </a:solidFill>
        </a:ln>
        <a:effectLst>
          <a:outerShdw blurRad="63500" sx="102000" sy="102000" algn="ctr" rotWithShape="0">
            <a:schemeClr val="accent3">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latin typeface="Century Gothic" pitchFamily="34" charset="0"/>
            </a:rPr>
            <a:t>Aide</a:t>
          </a:r>
          <a:r>
            <a:rPr lang="fr-FR" sz="1100" baseline="0">
              <a:latin typeface="Century Gothic" pitchFamily="34" charset="0"/>
            </a:rPr>
            <a:t> au dimensionnement - logiciel </a:t>
          </a:r>
          <a:r>
            <a:rPr lang="fr-FR" sz="1100" b="1" baseline="0">
              <a:latin typeface="Century Gothic" pitchFamily="34" charset="0"/>
            </a:rPr>
            <a:t>237 </a:t>
          </a:r>
          <a:r>
            <a:rPr lang="fr-FR" sz="1100" b="1" i="1" baseline="0">
              <a:latin typeface="Century Gothic" pitchFamily="34" charset="0"/>
            </a:rPr>
            <a:t>ES.</a:t>
          </a:r>
          <a:r>
            <a:rPr lang="fr-FR" sz="1100" b="1" baseline="0">
              <a:latin typeface="Century Gothic" pitchFamily="34" charset="0"/>
            </a:rPr>
            <a:t>Calcul </a:t>
          </a:r>
          <a:r>
            <a:rPr lang="fr-FR" sz="1100" baseline="0">
              <a:latin typeface="Century Gothic" pitchFamily="34" charset="0"/>
            </a:rPr>
            <a:t>- Photovoltaïque autonome</a:t>
          </a:r>
        </a:p>
        <a:p>
          <a:pPr algn="ctr"/>
          <a:r>
            <a:rPr kumimoji="0" lang="fr-FR" sz="1100" b="0" i="0" u="none" strike="noStrike" kern="0" cap="none" spc="0" normalizeH="0" baseline="0" noProof="0">
              <a:ln>
                <a:noFill/>
              </a:ln>
              <a:solidFill>
                <a:prstClr val="black"/>
              </a:solidFill>
              <a:effectLst/>
              <a:uLnTx/>
              <a:uFillTx/>
              <a:latin typeface="Century Gothic" pitchFamily="34" charset="0"/>
              <a:ea typeface="+mn-ea"/>
              <a:cs typeface="+mn-cs"/>
            </a:rPr>
            <a:t>by 237 Energie Solaire</a:t>
          </a:r>
        </a:p>
        <a:p>
          <a:pPr algn="ctr"/>
          <a:r>
            <a:rPr kumimoji="0" lang="fr-FR" sz="1100" b="0" i="0" u="none" strike="noStrike" kern="0" cap="none" spc="0" normalizeH="0" baseline="0" noProof="0">
              <a:ln>
                <a:noFill/>
              </a:ln>
              <a:solidFill>
                <a:prstClr val="black"/>
              </a:solidFill>
              <a:effectLst/>
              <a:uLnTx/>
              <a:uFillTx/>
              <a:latin typeface="Century Gothic" pitchFamily="34" charset="0"/>
              <a:ea typeface="+mn-ea"/>
              <a:cs typeface="+mn-cs"/>
            </a:rPr>
            <a:t>Estimation de la production d'électricité photovoltaïque. </a:t>
          </a:r>
          <a:endParaRPr lang="fr-FR" sz="1100">
            <a:latin typeface="Century Gothic" pitchFamily="34" charset="0"/>
          </a:endParaRPr>
        </a:p>
      </xdr:txBody>
    </xdr:sp>
    <xdr:clientData/>
  </xdr:twoCellAnchor>
  <xdr:twoCellAnchor>
    <xdr:from>
      <xdr:col>0</xdr:col>
      <xdr:colOff>675878</xdr:colOff>
      <xdr:row>5</xdr:row>
      <xdr:rowOff>38100</xdr:rowOff>
    </xdr:from>
    <xdr:to>
      <xdr:col>9</xdr:col>
      <xdr:colOff>675878</xdr:colOff>
      <xdr:row>6</xdr:row>
      <xdr:rowOff>161925</xdr:rowOff>
    </xdr:to>
    <xdr:sp macro="" textlink="">
      <xdr:nvSpPr>
        <xdr:cNvPr id="10" name="ZoneTexte 9"/>
        <xdr:cNvSpPr txBox="1"/>
      </xdr:nvSpPr>
      <xdr:spPr>
        <a:xfrm>
          <a:off x="675878" y="980678"/>
          <a:ext cx="6875859" cy="312341"/>
        </a:xfrm>
        <a:prstGeom prst="rect">
          <a:avLst/>
        </a:prstGeom>
        <a:solidFill>
          <a:srgbClr val="92D050"/>
        </a:solidFill>
        <a:ln w="1270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Century Gothic" pitchFamily="34" charset="0"/>
            </a:rPr>
            <a:t>CONSIGNATION DE DONNEES PV - PREDIMENSIONNEMENT</a:t>
          </a:r>
          <a:r>
            <a:rPr lang="fr-FR" sz="1200" baseline="0">
              <a:latin typeface="Century Gothic" pitchFamily="34" charset="0"/>
            </a:rPr>
            <a:t> - DIMENSIONNEMENT</a:t>
          </a:r>
          <a:endParaRPr lang="fr-FR" sz="1200">
            <a:latin typeface="Century Gothic" pitchFamily="34" charset="0"/>
          </a:endParaRPr>
        </a:p>
      </xdr:txBody>
    </xdr:sp>
    <xdr:clientData/>
  </xdr:twoCellAnchor>
  <xdr:twoCellAnchor>
    <xdr:from>
      <xdr:col>0</xdr:col>
      <xdr:colOff>95250</xdr:colOff>
      <xdr:row>7</xdr:row>
      <xdr:rowOff>19049</xdr:rowOff>
    </xdr:from>
    <xdr:to>
      <xdr:col>10</xdr:col>
      <xdr:colOff>371475</xdr:colOff>
      <xdr:row>25</xdr:row>
      <xdr:rowOff>19842</xdr:rowOff>
    </xdr:to>
    <xdr:sp macro="" textlink="">
      <xdr:nvSpPr>
        <xdr:cNvPr id="11" name="ZoneTexte 10"/>
        <xdr:cNvSpPr txBox="1"/>
      </xdr:nvSpPr>
      <xdr:spPr>
        <a:xfrm>
          <a:off x="95250" y="1338658"/>
          <a:ext cx="7916069" cy="3394075"/>
        </a:xfrm>
        <a:prstGeom prst="rect">
          <a:avLst/>
        </a:prstGeom>
        <a:solidFill>
          <a:schemeClr val="tx2">
            <a:lumMod val="20000"/>
            <a:lumOff val="80000"/>
          </a:schemeClr>
        </a:solidFill>
        <a:ln w="25400"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1200">
              <a:latin typeface="Times New Roman" pitchFamily="18" charset="0"/>
              <a:cs typeface="Times New Roman" pitchFamily="18" charset="0"/>
            </a:rPr>
            <a:t>Ce</a:t>
          </a:r>
          <a:r>
            <a:rPr lang="fr-FR" sz="1200" baseline="0">
              <a:latin typeface="Times New Roman" pitchFamily="18" charset="0"/>
              <a:cs typeface="Times New Roman" pitchFamily="18" charset="0"/>
            </a:rPr>
            <a:t> logiciel d' outil d'aide au  dimensionnement pour les installations solaires PV autonomes a été developpé par 237 Energie solaire et a pour but :</a:t>
          </a:r>
        </a:p>
        <a:p>
          <a:pPr algn="ctr"/>
          <a:endParaRPr lang="fr-FR" sz="1400" b="1" baseline="0">
            <a:latin typeface="Times New Roman" pitchFamily="18" charset="0"/>
            <a:cs typeface="Times New Roman" pitchFamily="18" charset="0"/>
          </a:endParaRPr>
        </a:p>
        <a:p>
          <a:pPr algn="l"/>
          <a:endParaRPr lang="fr-FR" sz="1200" baseline="0">
            <a:latin typeface="Times New Roman" pitchFamily="18" charset="0"/>
            <a:cs typeface="Times New Roman" pitchFamily="18" charset="0"/>
          </a:endParaRPr>
        </a:p>
        <a:p>
          <a:pPr algn="l"/>
          <a:r>
            <a:rPr lang="fr-FR" sz="1200" baseline="0">
              <a:latin typeface="Times New Roman" pitchFamily="18" charset="0"/>
              <a:cs typeface="Times New Roman" pitchFamily="18" charset="0"/>
            </a:rPr>
            <a:t>- D'aider à la préparation d'une décente de terrain en vue de le conception d' une installation PV.</a:t>
          </a:r>
        </a:p>
        <a:p>
          <a:pPr algn="l"/>
          <a:r>
            <a:rPr lang="fr-FR" sz="1200" i="1" baseline="0">
              <a:latin typeface="Times New Roman" pitchFamily="18" charset="0"/>
              <a:cs typeface="Times New Roman" pitchFamily="18" charset="0"/>
            </a:rPr>
            <a:t>Ici, une liste de matériel à prévoir afin d'assurer la decente de terrain est listé.</a:t>
          </a:r>
        </a:p>
        <a:p>
          <a:pPr algn="l"/>
          <a:endParaRPr lang="fr-FR" sz="1200" baseline="0">
            <a:latin typeface="Times New Roman" pitchFamily="18" charset="0"/>
            <a:cs typeface="Times New Roman" pitchFamily="18"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fr-FR" sz="1200" baseline="0">
              <a:latin typeface="Times New Roman" pitchFamily="18" charset="0"/>
              <a:cs typeface="Times New Roman" pitchFamily="18" charset="0"/>
            </a:rPr>
            <a:t>- </a:t>
          </a:r>
          <a:r>
            <a:rPr lang="fr-FR" sz="1200">
              <a:solidFill>
                <a:schemeClr val="dk1"/>
              </a:solidFill>
              <a:effectLst/>
              <a:latin typeface="Times New Roman" pitchFamily="18" charset="0"/>
              <a:ea typeface="+mn-ea"/>
              <a:cs typeface="Times New Roman" pitchFamily="18" charset="0"/>
            </a:rPr>
            <a:t>D’aider à débriefer</a:t>
          </a:r>
          <a:r>
            <a:rPr lang="fr-FR" sz="1200" baseline="0">
              <a:solidFill>
                <a:schemeClr val="dk1"/>
              </a:solidFill>
              <a:effectLst/>
              <a:latin typeface="Times New Roman" pitchFamily="18" charset="0"/>
              <a:ea typeface="+mn-ea"/>
              <a:cs typeface="Times New Roman" pitchFamily="18" charset="0"/>
            </a:rPr>
            <a:t> </a:t>
          </a:r>
          <a:r>
            <a:rPr lang="fr-FR" sz="1200">
              <a:solidFill>
                <a:schemeClr val="dk1"/>
              </a:solidFill>
              <a:effectLst/>
              <a:latin typeface="Times New Roman" pitchFamily="18" charset="0"/>
              <a:ea typeface="+mn-ea"/>
              <a:cs typeface="Times New Roman" pitchFamily="18" charset="0"/>
            </a:rPr>
            <a:t>l’ensemble des données (récoltées</a:t>
          </a:r>
          <a:r>
            <a:rPr lang="fr-FR" sz="1200" baseline="0">
              <a:solidFill>
                <a:schemeClr val="dk1"/>
              </a:solidFill>
              <a:effectLst/>
              <a:latin typeface="Times New Roman" pitchFamily="18" charset="0"/>
              <a:ea typeface="+mn-ea"/>
              <a:cs typeface="Times New Roman" pitchFamily="18" charset="0"/>
            </a:rPr>
            <a:t> sur le terrain)</a:t>
          </a:r>
          <a:r>
            <a:rPr lang="fr-FR" sz="1200">
              <a:solidFill>
                <a:schemeClr val="dk1"/>
              </a:solidFill>
              <a:effectLst/>
              <a:latin typeface="Times New Roman" pitchFamily="18" charset="0"/>
              <a:ea typeface="+mn-ea"/>
              <a:cs typeface="Times New Roman" pitchFamily="18" charset="0"/>
            </a:rPr>
            <a:t> nécessaires au dimensionnement d’une installation solaire PV tout en évitant les désagréments de l’aller</a:t>
          </a:r>
          <a:r>
            <a:rPr lang="fr-FR" sz="1200" baseline="0">
              <a:solidFill>
                <a:schemeClr val="dk1"/>
              </a:solidFill>
              <a:effectLst/>
              <a:latin typeface="Times New Roman" pitchFamily="18" charset="0"/>
              <a:ea typeface="+mn-ea"/>
              <a:cs typeface="Times New Roman" pitchFamily="18" charset="0"/>
            </a:rPr>
            <a:t> </a:t>
          </a:r>
          <a:r>
            <a:rPr lang="fr-FR" sz="1200">
              <a:solidFill>
                <a:schemeClr val="dk1"/>
              </a:solidFill>
              <a:effectLst/>
              <a:latin typeface="Times New Roman" pitchFamily="18" charset="0"/>
              <a:ea typeface="+mn-ea"/>
              <a:cs typeface="Times New Roman" pitchFamily="18" charset="0"/>
            </a:rPr>
            <a:t>et  retour entre le terrain et le bureau de travail.</a:t>
          </a:r>
        </a:p>
        <a:p>
          <a:pPr marL="0" marR="0" lvl="0" indent="0" defTabSz="914400" eaLnBrk="1" fontAlgn="auto" latinLnBrk="0" hangingPunct="1">
            <a:lnSpc>
              <a:spcPct val="115000"/>
            </a:lnSpc>
            <a:spcBef>
              <a:spcPts val="0"/>
            </a:spcBef>
            <a:spcAft>
              <a:spcPts val="1000"/>
            </a:spcAft>
            <a:buClrTx/>
            <a:buSzTx/>
            <a:buFontTx/>
            <a:buNone/>
            <a:tabLst/>
            <a:defRPr/>
          </a:pPr>
          <a:r>
            <a:rPr lang="fr-FR" sz="1200" i="1">
              <a:solidFill>
                <a:schemeClr val="dk1"/>
              </a:solidFill>
              <a:effectLst/>
              <a:latin typeface="Times New Roman" pitchFamily="18" charset="0"/>
              <a:ea typeface="+mn-ea"/>
              <a:cs typeface="Times New Roman" pitchFamily="18" charset="0"/>
            </a:rPr>
            <a:t>Ici, </a:t>
          </a:r>
          <a:r>
            <a:rPr kumimoji="0" lang="fr-FR" sz="1200" b="0" i="1" u="none" strike="noStrike" kern="0" cap="none" spc="0" normalizeH="0" baseline="0" noProof="0">
              <a:ln>
                <a:noFill/>
              </a:ln>
              <a:solidFill>
                <a:srgbClr val="000000"/>
              </a:solidFill>
              <a:effectLst/>
              <a:uLnTx/>
              <a:uFillTx/>
              <a:latin typeface="Times New Roman" pitchFamily="18" charset="0"/>
              <a:ea typeface="Times New Roman"/>
              <a:cs typeface="Times New Roman" pitchFamily="18" charset="0"/>
            </a:rPr>
            <a:t>une feuille </a:t>
          </a:r>
          <a:r>
            <a:rPr kumimoji="0" lang="fr-FR" sz="1200" b="1" i="1" u="none" strike="noStrike" kern="0" cap="none" spc="0" normalizeH="0" baseline="0" noProof="0">
              <a:ln>
                <a:noFill/>
              </a:ln>
              <a:solidFill>
                <a:sysClr val="windowText" lastClr="000000"/>
              </a:solidFill>
              <a:effectLst/>
              <a:uLnTx/>
              <a:uFillTx/>
              <a:latin typeface="Times New Roman" pitchFamily="18" charset="0"/>
              <a:ea typeface="Times New Roman"/>
              <a:cs typeface="Times New Roman" pitchFamily="18" charset="0"/>
            </a:rPr>
            <a:t>Consignaton de Données PV </a:t>
          </a:r>
          <a:r>
            <a:rPr kumimoji="0" lang="fr-FR" sz="1200" b="0" i="1" u="none" strike="noStrike" kern="0" cap="none" spc="0" normalizeH="0" baseline="0" noProof="0">
              <a:ln>
                <a:noFill/>
              </a:ln>
              <a:solidFill>
                <a:srgbClr val="000000"/>
              </a:solidFill>
              <a:effectLst/>
              <a:uLnTx/>
              <a:uFillTx/>
              <a:latin typeface="Times New Roman" pitchFamily="18" charset="0"/>
              <a:ea typeface="Times New Roman"/>
              <a:cs typeface="Times New Roman" pitchFamily="18" charset="0"/>
            </a:rPr>
            <a:t>est disponible en version PDF à imprimer afin  de facilité la recolte d'information sur le terrain (cliquer </a:t>
          </a:r>
          <a:r>
            <a:rPr kumimoji="0" lang="fr-FR" sz="1200" b="1" i="0" u="none" strike="noStrike" kern="0" cap="none" spc="0" normalizeH="0" baseline="0" noProof="0">
              <a:ln>
                <a:noFill/>
              </a:ln>
              <a:solidFill>
                <a:srgbClr val="FF0000"/>
              </a:solidFill>
              <a:effectLst/>
              <a:uLnTx/>
              <a:uFillTx/>
              <a:latin typeface="Times New Roman" pitchFamily="18" charset="0"/>
              <a:ea typeface="Times New Roman"/>
              <a:cs typeface="Times New Roman" pitchFamily="18" charset="0"/>
            </a:rPr>
            <a:t>            </a:t>
          </a:r>
          <a:r>
            <a:rPr kumimoji="0" lang="fr-FR" sz="1200" b="0" i="1" u="none" strike="noStrike" kern="0" cap="none" spc="0" normalizeH="0" baseline="0" noProof="0">
              <a:ln>
                <a:noFill/>
              </a:ln>
              <a:solidFill>
                <a:srgbClr val="000000"/>
              </a:solidFill>
              <a:effectLst/>
              <a:uLnTx/>
              <a:uFillTx/>
              <a:latin typeface="Times New Roman" pitchFamily="18" charset="0"/>
              <a:ea typeface="Times New Roman"/>
              <a:cs typeface="Times New Roman" pitchFamily="18" charset="0"/>
            </a:rPr>
            <a:t>pour obtenir).</a:t>
          </a:r>
        </a:p>
        <a:p>
          <a:pPr marL="0" marR="0" lvl="0" indent="0" defTabSz="914400" eaLnBrk="1" fontAlgn="auto" latinLnBrk="0" hangingPunct="1">
            <a:lnSpc>
              <a:spcPct val="115000"/>
            </a:lnSpc>
            <a:spcBef>
              <a:spcPts val="0"/>
            </a:spcBef>
            <a:spcAft>
              <a:spcPts val="1000"/>
            </a:spcAft>
            <a:buClrTx/>
            <a:buSzTx/>
            <a:buFontTx/>
            <a:buNone/>
            <a:tabLst/>
            <a:defRPr/>
          </a:pPr>
          <a:r>
            <a:rPr lang="fr-FR" sz="1200" i="1">
              <a:solidFill>
                <a:srgbClr val="000000"/>
              </a:solidFill>
              <a:effectLst/>
              <a:latin typeface="Times New Roman" pitchFamily="18" charset="0"/>
              <a:ea typeface="Calibri"/>
              <a:cs typeface="Times New Roman" pitchFamily="18" charset="0"/>
            </a:rPr>
            <a:t>-</a:t>
          </a:r>
          <a:r>
            <a:rPr lang="fr-FR" sz="1200" i="1" baseline="0">
              <a:solidFill>
                <a:srgbClr val="000000"/>
              </a:solidFill>
              <a:effectLst/>
              <a:latin typeface="Times New Roman" pitchFamily="18" charset="0"/>
              <a:ea typeface="Calibri"/>
              <a:cs typeface="Times New Roman" pitchFamily="18" charset="0"/>
            </a:rPr>
            <a:t> </a:t>
          </a:r>
          <a:r>
            <a:rPr lang="fr-FR" sz="1200" i="0" baseline="0">
              <a:solidFill>
                <a:srgbClr val="000000"/>
              </a:solidFill>
              <a:effectLst/>
              <a:latin typeface="Times New Roman" pitchFamily="18" charset="0"/>
              <a:ea typeface="Calibri"/>
              <a:cs typeface="Times New Roman" pitchFamily="18" charset="0"/>
            </a:rPr>
            <a:t>D’Estimer la consommation énergétique à couvrir par l’installation.</a:t>
          </a:r>
        </a:p>
        <a:p>
          <a:pPr>
            <a:lnSpc>
              <a:spcPct val="115000"/>
            </a:lnSpc>
            <a:spcAft>
              <a:spcPts val="1000"/>
            </a:spcAft>
          </a:pPr>
          <a:r>
            <a:rPr lang="fr-FR" sz="1200" i="0" baseline="0">
              <a:solidFill>
                <a:srgbClr val="000000"/>
              </a:solidFill>
              <a:effectLst/>
              <a:latin typeface="Times New Roman" pitchFamily="18" charset="0"/>
              <a:ea typeface="Calibri"/>
              <a:cs typeface="Times New Roman" pitchFamily="18" charset="0"/>
            </a:rPr>
            <a:t>- De proposer des solutions d’économie d’énergie en vue de réduire la taille de l'installation ainsi que le coût d'investissement. </a:t>
          </a:r>
        </a:p>
        <a:p>
          <a:pPr>
            <a:lnSpc>
              <a:spcPct val="115000"/>
            </a:lnSpc>
            <a:spcAft>
              <a:spcPts val="1000"/>
            </a:spcAft>
          </a:pPr>
          <a:r>
            <a:rPr lang="fr-FR" sz="1200" i="1">
              <a:effectLst/>
              <a:latin typeface="Times New Roman" pitchFamily="18" charset="0"/>
              <a:ea typeface="Calibri"/>
              <a:cs typeface="Times New Roman" pitchFamily="18" charset="0"/>
            </a:rPr>
            <a:t>- </a:t>
          </a:r>
          <a:r>
            <a:rPr lang="fr-FR" sz="1200" i="0">
              <a:effectLst/>
              <a:latin typeface="Times New Roman" pitchFamily="18" charset="0"/>
              <a:ea typeface="Calibri"/>
              <a:cs typeface="Times New Roman" pitchFamily="18" charset="0"/>
            </a:rPr>
            <a:t>D'estimer la puissance crête PV</a:t>
          </a:r>
          <a:r>
            <a:rPr lang="fr-FR" sz="1200" i="0" baseline="0">
              <a:effectLst/>
              <a:latin typeface="Times New Roman" pitchFamily="18" charset="0"/>
              <a:ea typeface="Calibri"/>
              <a:cs typeface="Times New Roman" pitchFamily="18" charset="0"/>
            </a:rPr>
            <a:t> à fournir</a:t>
          </a:r>
          <a:r>
            <a:rPr lang="fr-FR" sz="1200" i="1" baseline="0">
              <a:effectLst/>
              <a:latin typeface="Times New Roman" pitchFamily="18" charset="0"/>
              <a:ea typeface="Calibri"/>
              <a:cs typeface="Times New Roman" pitchFamily="18" charset="0"/>
            </a:rPr>
            <a:t> </a:t>
          </a:r>
          <a:r>
            <a:rPr lang="fr-FR" sz="1200" i="0" baseline="0">
              <a:effectLst/>
              <a:latin typeface="Times New Roman" pitchFamily="18" charset="0"/>
              <a:ea typeface="Calibri"/>
              <a:cs typeface="Times New Roman" pitchFamily="18" charset="0"/>
            </a:rPr>
            <a:t>ainsi que les caractéristiques des équipements à utiliser.</a:t>
          </a:r>
          <a:endParaRPr lang="fr-FR" sz="1200" i="0">
            <a:effectLst/>
            <a:latin typeface="Times New Roman" pitchFamily="18" charset="0"/>
            <a:ea typeface="Calibri"/>
            <a:cs typeface="Times New Roman" pitchFamily="18" charset="0"/>
          </a:endParaRPr>
        </a:p>
        <a:p>
          <a:pPr marL="0" marR="0" indent="0" algn="l" defTabSz="914400" eaLnBrk="1" fontAlgn="auto" latinLnBrk="0" hangingPunct="1">
            <a:lnSpc>
              <a:spcPct val="100000"/>
            </a:lnSpc>
            <a:spcBef>
              <a:spcPts val="0"/>
            </a:spcBef>
            <a:spcAft>
              <a:spcPts val="0"/>
            </a:spcAft>
            <a:buClrTx/>
            <a:buSzTx/>
            <a:buFontTx/>
            <a:buNone/>
            <a:tabLst/>
            <a:defRPr/>
          </a:pPr>
          <a:endParaRPr lang="fr-FR" sz="1200">
            <a:solidFill>
              <a:schemeClr val="dk1"/>
            </a:solidFill>
            <a:effectLst/>
            <a:latin typeface="Times New Roman" pitchFamily="18" charset="0"/>
            <a:ea typeface="+mn-ea"/>
            <a:cs typeface="Times New Roman" pitchFamily="18" charset="0"/>
          </a:endParaRPr>
        </a:p>
        <a:p>
          <a:pPr algn="l"/>
          <a:endParaRPr lang="fr-FR" sz="1200" baseline="0">
            <a:latin typeface="Times New Roman" pitchFamily="18" charset="0"/>
            <a:cs typeface="Times New Roman" pitchFamily="18" charset="0"/>
          </a:endParaRPr>
        </a:p>
        <a:p>
          <a:pPr algn="l"/>
          <a:endParaRPr lang="fr-FR" sz="1200">
            <a:latin typeface="Times New Roman" pitchFamily="18" charset="0"/>
            <a:cs typeface="Times New Roman" pitchFamily="18" charset="0"/>
          </a:endParaRPr>
        </a:p>
      </xdr:txBody>
    </xdr:sp>
    <xdr:clientData/>
  </xdr:twoCellAnchor>
  <xdr:twoCellAnchor>
    <xdr:from>
      <xdr:col>0</xdr:col>
      <xdr:colOff>85725</xdr:colOff>
      <xdr:row>1</xdr:row>
      <xdr:rowOff>9525</xdr:rowOff>
    </xdr:from>
    <xdr:to>
      <xdr:col>2</xdr:col>
      <xdr:colOff>666750</xdr:colOff>
      <xdr:row>4</xdr:row>
      <xdr:rowOff>38100</xdr:rowOff>
    </xdr:to>
    <xdr:sp macro="" textlink="">
      <xdr:nvSpPr>
        <xdr:cNvPr id="12" name="ZoneTexte 11"/>
        <xdr:cNvSpPr txBox="1"/>
      </xdr:nvSpPr>
      <xdr:spPr>
        <a:xfrm>
          <a:off x="85725" y="200025"/>
          <a:ext cx="210502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latin typeface="Century Gothic" pitchFamily="34" charset="0"/>
            </a:rPr>
            <a:t>237 </a:t>
          </a:r>
          <a:r>
            <a:rPr lang="fr-FR" sz="1800" b="1" i="1">
              <a:solidFill>
                <a:schemeClr val="accent3"/>
              </a:solidFill>
              <a:latin typeface="Bradley Hand ITC" pitchFamily="66" charset="0"/>
            </a:rPr>
            <a:t>ES</a:t>
          </a:r>
          <a:r>
            <a:rPr lang="fr-FR" sz="1800" i="0">
              <a:latin typeface="Century Gothic" pitchFamily="34" charset="0"/>
            </a:rPr>
            <a:t>.</a:t>
          </a:r>
          <a:r>
            <a:rPr lang="fr-FR" sz="1800">
              <a:latin typeface="Century Gothic" pitchFamily="34" charset="0"/>
            </a:rPr>
            <a:t>Calcul</a:t>
          </a:r>
        </a:p>
      </xdr:txBody>
    </xdr:sp>
    <xdr:clientData/>
  </xdr:twoCellAnchor>
  <xdr:twoCellAnchor>
    <xdr:from>
      <xdr:col>12</xdr:col>
      <xdr:colOff>42861</xdr:colOff>
      <xdr:row>5</xdr:row>
      <xdr:rowOff>113904</xdr:rowOff>
    </xdr:from>
    <xdr:to>
      <xdr:col>15</xdr:col>
      <xdr:colOff>290512</xdr:colOff>
      <xdr:row>7</xdr:row>
      <xdr:rowOff>113904</xdr:rowOff>
    </xdr:to>
    <xdr:sp macro="" textlink="">
      <xdr:nvSpPr>
        <xdr:cNvPr id="3" name="ZoneTexte 2"/>
        <xdr:cNvSpPr txBox="1"/>
      </xdr:nvSpPr>
      <xdr:spPr>
        <a:xfrm>
          <a:off x="9210674" y="1056482"/>
          <a:ext cx="2539604" cy="377031"/>
        </a:xfrm>
        <a:prstGeom prst="rect">
          <a:avLst/>
        </a:prstGeom>
        <a:solidFill>
          <a:schemeClr val="accent3"/>
        </a:solidFill>
        <a:ln w="9525" cmpd="sng">
          <a:solidFill>
            <a:schemeClr val="accent1"/>
          </a:solidFill>
        </a:ln>
        <a:effectLst>
          <a:outerShdw blurRad="50800" dist="50800" dir="5400000" algn="ctr" rotWithShape="0">
            <a:schemeClr val="bg1"/>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1">
              <a:latin typeface="Times New Roman" pitchFamily="18" charset="0"/>
              <a:cs typeface="Times New Roman" pitchFamily="18" charset="0"/>
            </a:rPr>
            <a:t>Choisissez pour Commencer</a:t>
          </a:r>
        </a:p>
      </xdr:txBody>
    </xdr:sp>
    <xdr:clientData/>
  </xdr:twoCellAnchor>
  <xdr:twoCellAnchor editAs="oneCell">
    <xdr:from>
      <xdr:col>10</xdr:col>
      <xdr:colOff>571502</xdr:colOff>
      <xdr:row>8</xdr:row>
      <xdr:rowOff>28575</xdr:rowOff>
    </xdr:from>
    <xdr:to>
      <xdr:col>11</xdr:col>
      <xdr:colOff>314326</xdr:colOff>
      <xdr:row>10</xdr:row>
      <xdr:rowOff>95250</xdr:rowOff>
    </xdr:to>
    <xdr:pic>
      <xdr:nvPicPr>
        <xdr:cNvPr id="6" name="Image 5">
          <a:hlinkClick xmlns:r="http://schemas.openxmlformats.org/officeDocument/2006/relationships" r:id="rId8" tooltip="Cliquer pour aller à la feuille de données du site"/>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xmlns="" val="0"/>
            </a:ext>
          </a:extLst>
        </a:blip>
        <a:srcRect l="22010" t="12033" r="22009" b="10374"/>
        <a:stretch/>
      </xdr:blipFill>
      <xdr:spPr>
        <a:xfrm>
          <a:off x="8191502" y="1552575"/>
          <a:ext cx="504824" cy="447675"/>
        </a:xfrm>
        <a:prstGeom prst="rect">
          <a:avLst/>
        </a:prstGeom>
      </xdr:spPr>
    </xdr:pic>
    <xdr:clientData/>
  </xdr:twoCellAnchor>
  <xdr:twoCellAnchor editAs="oneCell">
    <xdr:from>
      <xdr:col>13</xdr:col>
      <xdr:colOff>514349</xdr:colOff>
      <xdr:row>8</xdr:row>
      <xdr:rowOff>47624</xdr:rowOff>
    </xdr:from>
    <xdr:to>
      <xdr:col>14</xdr:col>
      <xdr:colOff>352424</xdr:colOff>
      <xdr:row>10</xdr:row>
      <xdr:rowOff>114299</xdr:rowOff>
    </xdr:to>
    <xdr:pic>
      <xdr:nvPicPr>
        <xdr:cNvPr id="9" name="Image 8">
          <a:hlinkClick xmlns:r="http://schemas.openxmlformats.org/officeDocument/2006/relationships" r:id="rId10" tooltip="Cliquer pour aller à la feuille de détermination des Besoins électrique"/>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xmlns="" val="0"/>
            </a:ext>
          </a:extLst>
        </a:blip>
        <a:srcRect l="48390" t="24862" r="15531" b="5705"/>
        <a:stretch/>
      </xdr:blipFill>
      <xdr:spPr>
        <a:xfrm>
          <a:off x="10420349" y="1571624"/>
          <a:ext cx="600075" cy="447675"/>
        </a:xfrm>
        <a:prstGeom prst="rect">
          <a:avLst/>
        </a:prstGeom>
      </xdr:spPr>
    </xdr:pic>
    <xdr:clientData/>
  </xdr:twoCellAnchor>
  <xdr:twoCellAnchor editAs="oneCell">
    <xdr:from>
      <xdr:col>10</xdr:col>
      <xdr:colOff>542924</xdr:colOff>
      <xdr:row>11</xdr:row>
      <xdr:rowOff>76200</xdr:rowOff>
    </xdr:from>
    <xdr:to>
      <xdr:col>11</xdr:col>
      <xdr:colOff>466725</xdr:colOff>
      <xdr:row>14</xdr:row>
      <xdr:rowOff>19050</xdr:rowOff>
    </xdr:to>
    <xdr:pic>
      <xdr:nvPicPr>
        <xdr:cNvPr id="19" name="Image 18">
          <a:hlinkClick xmlns:r="http://schemas.openxmlformats.org/officeDocument/2006/relationships" r:id="rId12" tooltip="Cliquer pour aller à la feuille économie d'énergie"/>
        </xdr:cNvPr>
        <xdr:cNvPicPr>
          <a:picLocks noChangeAspect="1"/>
        </xdr:cNvPicPr>
      </xdr:nvPicPr>
      <xdr:blipFill rotWithShape="1">
        <a:blip xmlns:r="http://schemas.openxmlformats.org/officeDocument/2006/relationships" r:embed="rId13">
          <a:extLst>
            <a:ext uri="{28A0092B-C50C-407E-A947-70E740481C1C}">
              <a14:useLocalDpi xmlns:a14="http://schemas.microsoft.com/office/drawing/2010/main" xmlns="" val="0"/>
            </a:ext>
          </a:extLst>
        </a:blip>
        <a:srcRect l="20000" t="-444" r="20000" b="-1"/>
        <a:stretch/>
      </xdr:blipFill>
      <xdr:spPr>
        <a:xfrm>
          <a:off x="8162924" y="2171700"/>
          <a:ext cx="685801" cy="514350"/>
        </a:xfrm>
        <a:prstGeom prst="rect">
          <a:avLst/>
        </a:prstGeom>
      </xdr:spPr>
    </xdr:pic>
    <xdr:clientData/>
  </xdr:twoCellAnchor>
  <xdr:twoCellAnchor editAs="oneCell">
    <xdr:from>
      <xdr:col>13</xdr:col>
      <xdr:colOff>485775</xdr:colOff>
      <xdr:row>11</xdr:row>
      <xdr:rowOff>114300</xdr:rowOff>
    </xdr:from>
    <xdr:to>
      <xdr:col>14</xdr:col>
      <xdr:colOff>314325</xdr:colOff>
      <xdr:row>13</xdr:row>
      <xdr:rowOff>171450</xdr:rowOff>
    </xdr:to>
    <xdr:pic>
      <xdr:nvPicPr>
        <xdr:cNvPr id="24" name="Image 23">
          <a:hlinkClick xmlns:r="http://schemas.openxmlformats.org/officeDocument/2006/relationships" r:id="rId14" tooltip="Cliquer pour aller à la feuille des données  d'irradiation"/>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xmlns="" val="0"/>
            </a:ext>
          </a:extLst>
        </a:blip>
        <a:srcRect l="17333" t="13333" r="15111" b="15112"/>
        <a:stretch/>
      </xdr:blipFill>
      <xdr:spPr>
        <a:xfrm>
          <a:off x="10391775" y="2209800"/>
          <a:ext cx="590550" cy="438150"/>
        </a:xfrm>
        <a:prstGeom prst="rect">
          <a:avLst/>
        </a:prstGeom>
      </xdr:spPr>
    </xdr:pic>
    <xdr:clientData/>
  </xdr:twoCellAnchor>
  <xdr:twoCellAnchor editAs="oneCell">
    <xdr:from>
      <xdr:col>14</xdr:col>
      <xdr:colOff>98029</xdr:colOff>
      <xdr:row>22</xdr:row>
      <xdr:rowOff>35718</xdr:rowOff>
    </xdr:from>
    <xdr:to>
      <xdr:col>15</xdr:col>
      <xdr:colOff>31525</xdr:colOff>
      <xdr:row>24</xdr:row>
      <xdr:rowOff>148034</xdr:rowOff>
    </xdr:to>
    <xdr:pic>
      <xdr:nvPicPr>
        <xdr:cNvPr id="38" name="Image 37">
          <a:hlinkClick xmlns:r="http://schemas.openxmlformats.org/officeDocument/2006/relationships" r:id="rId16" tooltip="Cliquer pour obtenir de l'aide"/>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xmlns="" val="0"/>
            </a:ext>
          </a:extLst>
        </a:blip>
        <a:stretch>
          <a:fillRect/>
        </a:stretch>
      </xdr:blipFill>
      <xdr:spPr>
        <a:xfrm>
          <a:off x="10766029" y="4226718"/>
          <a:ext cx="695496" cy="493316"/>
        </a:xfrm>
        <a:prstGeom prst="rect">
          <a:avLst/>
        </a:prstGeom>
      </xdr:spPr>
    </xdr:pic>
    <xdr:clientData/>
  </xdr:twoCellAnchor>
  <xdr:twoCellAnchor editAs="oneCell">
    <xdr:from>
      <xdr:col>13</xdr:col>
      <xdr:colOff>464741</xdr:colOff>
      <xdr:row>14</xdr:row>
      <xdr:rowOff>162324</xdr:rowOff>
    </xdr:from>
    <xdr:to>
      <xdr:col>14</xdr:col>
      <xdr:colOff>683022</xdr:colOff>
      <xdr:row>17</xdr:row>
      <xdr:rowOff>95250</xdr:rowOff>
    </xdr:to>
    <xdr:pic>
      <xdr:nvPicPr>
        <xdr:cNvPr id="4" name="Image 3">
          <a:hlinkClick xmlns:r="http://schemas.openxmlformats.org/officeDocument/2006/relationships" r:id="rId18" tooltip="Cliquer pour aller à la feuille de dimensionnement des câbles"/>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xmlns="" val="0"/>
            </a:ext>
          </a:extLst>
        </a:blip>
        <a:stretch>
          <a:fillRect/>
        </a:stretch>
      </xdr:blipFill>
      <xdr:spPr>
        <a:xfrm>
          <a:off x="10370741" y="2829324"/>
          <a:ext cx="980281" cy="504426"/>
        </a:xfrm>
        <a:prstGeom prst="rect">
          <a:avLst/>
        </a:prstGeom>
      </xdr:spPr>
    </xdr:pic>
    <xdr:clientData/>
  </xdr:twoCellAnchor>
  <xdr:twoCellAnchor>
    <xdr:from>
      <xdr:col>3</xdr:col>
      <xdr:colOff>119063</xdr:colOff>
      <xdr:row>16</xdr:row>
      <xdr:rowOff>158749</xdr:rowOff>
    </xdr:from>
    <xdr:to>
      <xdr:col>3</xdr:col>
      <xdr:colOff>535780</xdr:colOff>
      <xdr:row>18</xdr:row>
      <xdr:rowOff>49609</xdr:rowOff>
    </xdr:to>
    <xdr:sp macro="" textlink="">
      <xdr:nvSpPr>
        <xdr:cNvPr id="17" name="Rectangle 16">
          <a:hlinkClick xmlns:r="http://schemas.openxmlformats.org/officeDocument/2006/relationships" r:id="rId20" tooltip="Cliquer ici pour obtenir la fiche de consignation de données PV.pdf"/>
        </xdr:cNvPr>
        <xdr:cNvSpPr/>
      </xdr:nvSpPr>
      <xdr:spPr>
        <a:xfrm>
          <a:off x="2411016" y="3174999"/>
          <a:ext cx="416717" cy="267891"/>
        </a:xfrm>
        <a:prstGeom prst="rect">
          <a:avLst/>
        </a:prstGeom>
        <a:solidFill>
          <a:schemeClr val="tx2">
            <a:lumMod val="20000"/>
            <a:lumOff val="80000"/>
          </a:schemeClr>
        </a:solidFill>
        <a:ln>
          <a:solidFill>
            <a:schemeClr val="tx2">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solidFill>
                <a:srgbClr val="FF0000"/>
              </a:solidFill>
              <a:latin typeface="Times New Roman" pitchFamily="18" charset="0"/>
              <a:cs typeface="Times New Roman" pitchFamily="18" charset="0"/>
            </a:rPr>
            <a:t>ICI</a:t>
          </a:r>
        </a:p>
      </xdr:txBody>
    </xdr:sp>
    <xdr:clientData/>
  </xdr:twoCellAnchor>
  <xdr:twoCellAnchor editAs="oneCell">
    <xdr:from>
      <xdr:col>11</xdr:col>
      <xdr:colOff>323851</xdr:colOff>
      <xdr:row>8</xdr:row>
      <xdr:rowOff>95250</xdr:rowOff>
    </xdr:from>
    <xdr:to>
      <xdr:col>13</xdr:col>
      <xdr:colOff>183763</xdr:colOff>
      <xdr:row>10</xdr:row>
      <xdr:rowOff>61752</xdr:rowOff>
    </xdr:to>
    <xdr:pic>
      <xdr:nvPicPr>
        <xdr:cNvPr id="20" name="Image 19">
          <a:hlinkClick xmlns:r="http://schemas.openxmlformats.org/officeDocument/2006/relationships" r:id="rId21" tooltip="Cliquer pour aller à la feuille de données du site"/>
        </xdr:cNvPr>
        <xdr:cNvPicPr>
          <a:picLocks noChangeAspect="1"/>
        </xdr:cNvPicPr>
      </xdr:nvPicPr>
      <xdr:blipFill>
        <a:blip xmlns:r="http://schemas.openxmlformats.org/officeDocument/2006/relationships" r:embed="rId22"/>
        <a:stretch>
          <a:fillRect/>
        </a:stretch>
      </xdr:blipFill>
      <xdr:spPr>
        <a:xfrm>
          <a:off x="8705851" y="1619250"/>
          <a:ext cx="1383912" cy="347502"/>
        </a:xfrm>
        <a:prstGeom prst="rect">
          <a:avLst/>
        </a:prstGeom>
      </xdr:spPr>
    </xdr:pic>
    <xdr:clientData/>
  </xdr:twoCellAnchor>
  <xdr:twoCellAnchor editAs="oneCell">
    <xdr:from>
      <xdr:col>14</xdr:col>
      <xdr:colOff>333375</xdr:colOff>
      <xdr:row>8</xdr:row>
      <xdr:rowOff>76200</xdr:rowOff>
    </xdr:from>
    <xdr:to>
      <xdr:col>16</xdr:col>
      <xdr:colOff>247650</xdr:colOff>
      <xdr:row>10</xdr:row>
      <xdr:rowOff>42702</xdr:rowOff>
    </xdr:to>
    <xdr:pic>
      <xdr:nvPicPr>
        <xdr:cNvPr id="27" name="Image 26">
          <a:hlinkClick xmlns:r="http://schemas.openxmlformats.org/officeDocument/2006/relationships" r:id="rId23" tooltip="Cliquer pour aller à la feuille de détermination des Besoins électrique"/>
        </xdr:cNvPr>
        <xdr:cNvPicPr>
          <a:picLocks noChangeAspect="1"/>
        </xdr:cNvPicPr>
      </xdr:nvPicPr>
      <xdr:blipFill>
        <a:blip xmlns:r="http://schemas.openxmlformats.org/officeDocument/2006/relationships" r:embed="rId24"/>
        <a:stretch>
          <a:fillRect/>
        </a:stretch>
      </xdr:blipFill>
      <xdr:spPr>
        <a:xfrm>
          <a:off x="11001375" y="1600200"/>
          <a:ext cx="1438275" cy="347502"/>
        </a:xfrm>
        <a:prstGeom prst="rect">
          <a:avLst/>
        </a:prstGeom>
      </xdr:spPr>
    </xdr:pic>
    <xdr:clientData/>
  </xdr:twoCellAnchor>
  <xdr:twoCellAnchor editAs="oneCell">
    <xdr:from>
      <xdr:col>11</xdr:col>
      <xdr:colOff>561975</xdr:colOff>
      <xdr:row>11</xdr:row>
      <xdr:rowOff>152400</xdr:rowOff>
    </xdr:from>
    <xdr:to>
      <xdr:col>13</xdr:col>
      <xdr:colOff>37806</xdr:colOff>
      <xdr:row>14</xdr:row>
      <xdr:rowOff>135684</xdr:rowOff>
    </xdr:to>
    <xdr:pic>
      <xdr:nvPicPr>
        <xdr:cNvPr id="28" name="Image 27">
          <a:hlinkClick xmlns:r="http://schemas.openxmlformats.org/officeDocument/2006/relationships" r:id="rId25" tooltip="Cliquer pour aller à la feuille économie d'énergie"/>
        </xdr:cNvPr>
        <xdr:cNvPicPr>
          <a:picLocks noChangeAspect="1"/>
        </xdr:cNvPicPr>
      </xdr:nvPicPr>
      <xdr:blipFill>
        <a:blip xmlns:r="http://schemas.openxmlformats.org/officeDocument/2006/relationships" r:embed="rId26"/>
        <a:stretch>
          <a:fillRect/>
        </a:stretch>
      </xdr:blipFill>
      <xdr:spPr>
        <a:xfrm>
          <a:off x="8943975" y="2247900"/>
          <a:ext cx="999831" cy="554784"/>
        </a:xfrm>
        <a:prstGeom prst="rect">
          <a:avLst/>
        </a:prstGeom>
      </xdr:spPr>
    </xdr:pic>
    <xdr:clientData/>
  </xdr:twoCellAnchor>
  <xdr:twoCellAnchor editAs="oneCell">
    <xdr:from>
      <xdr:col>14</xdr:col>
      <xdr:colOff>466725</xdr:colOff>
      <xdr:row>11</xdr:row>
      <xdr:rowOff>85725</xdr:rowOff>
    </xdr:from>
    <xdr:to>
      <xdr:col>16</xdr:col>
      <xdr:colOff>94969</xdr:colOff>
      <xdr:row>14</xdr:row>
      <xdr:rowOff>69009</xdr:rowOff>
    </xdr:to>
    <xdr:pic>
      <xdr:nvPicPr>
        <xdr:cNvPr id="31" name="Image 30">
          <a:hlinkClick xmlns:r="http://schemas.openxmlformats.org/officeDocument/2006/relationships" r:id="rId27" tooltip="Cliquer pour aller à la feuille des données  d'irradiation"/>
        </xdr:cNvPr>
        <xdr:cNvPicPr>
          <a:picLocks noChangeAspect="1"/>
        </xdr:cNvPicPr>
      </xdr:nvPicPr>
      <xdr:blipFill>
        <a:blip xmlns:r="http://schemas.openxmlformats.org/officeDocument/2006/relationships" r:embed="rId28"/>
        <a:stretch>
          <a:fillRect/>
        </a:stretch>
      </xdr:blipFill>
      <xdr:spPr>
        <a:xfrm>
          <a:off x="11134725" y="2181225"/>
          <a:ext cx="1152244" cy="554784"/>
        </a:xfrm>
        <a:prstGeom prst="rect">
          <a:avLst/>
        </a:prstGeom>
      </xdr:spPr>
    </xdr:pic>
    <xdr:clientData/>
  </xdr:twoCellAnchor>
  <xdr:twoCellAnchor>
    <xdr:from>
      <xdr:col>10</xdr:col>
      <xdr:colOff>466725</xdr:colOff>
      <xdr:row>14</xdr:row>
      <xdr:rowOff>104775</xdr:rowOff>
    </xdr:from>
    <xdr:to>
      <xdr:col>13</xdr:col>
      <xdr:colOff>161926</xdr:colOff>
      <xdr:row>17</xdr:row>
      <xdr:rowOff>104775</xdr:rowOff>
    </xdr:to>
    <xdr:sp macro="" textlink="">
      <xdr:nvSpPr>
        <xdr:cNvPr id="46" name="Rectangle à coins arrondis 45">
          <a:hlinkClick xmlns:r="http://schemas.openxmlformats.org/officeDocument/2006/relationships" r:id="rId29" tooltip="Cliquer pour aller à la feuille de dimensionnement du système PV"/>
        </xdr:cNvPr>
        <xdr:cNvSpPr/>
      </xdr:nvSpPr>
      <xdr:spPr>
        <a:xfrm>
          <a:off x="8086725" y="2771775"/>
          <a:ext cx="1981201" cy="571500"/>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reflection stA="75000" endPos="33000" dist="25400" dir="5400000" sy="-100000" algn="bl" rotWithShape="0"/>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smtClean="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Système PV                  Autonome</a:t>
          </a:r>
        </a:p>
      </xdr:txBody>
    </xdr:sp>
    <xdr:clientData/>
  </xdr:twoCellAnchor>
  <xdr:twoCellAnchor editAs="oneCell">
    <xdr:from>
      <xdr:col>10</xdr:col>
      <xdr:colOff>552451</xdr:colOff>
      <xdr:row>14</xdr:row>
      <xdr:rowOff>161925</xdr:rowOff>
    </xdr:from>
    <xdr:to>
      <xdr:col>11</xdr:col>
      <xdr:colOff>381001</xdr:colOff>
      <xdr:row>17</xdr:row>
      <xdr:rowOff>85724</xdr:rowOff>
    </xdr:to>
    <xdr:pic>
      <xdr:nvPicPr>
        <xdr:cNvPr id="52" name="Image 51">
          <a:hlinkClick xmlns:r="http://schemas.openxmlformats.org/officeDocument/2006/relationships" r:id="rId30" tooltip="Cliquer pour aller à la feuille de dimensionnement du système PV"/>
        </xdr:cNvPr>
        <xdr:cNvPicPr>
          <a:picLocks noChangeAspect="1"/>
        </xdr:cNvPicPr>
      </xdr:nvPicPr>
      <xdr:blipFill rotWithShape="1">
        <a:blip xmlns:r="http://schemas.openxmlformats.org/officeDocument/2006/relationships" r:embed="rId31" cstate="print">
          <a:extLst>
            <a:ext uri="{28A0092B-C50C-407E-A947-70E740481C1C}">
              <a14:useLocalDpi xmlns:a14="http://schemas.microsoft.com/office/drawing/2010/main" xmlns="" val="0"/>
            </a:ext>
          </a:extLst>
        </a:blip>
        <a:srcRect l="32481" t="41436" r="51989" b="28103"/>
        <a:stretch/>
      </xdr:blipFill>
      <xdr:spPr>
        <a:xfrm>
          <a:off x="8172451" y="2828925"/>
          <a:ext cx="590550" cy="495299"/>
        </a:xfrm>
        <a:prstGeom prst="rect">
          <a:avLst/>
        </a:prstGeom>
      </xdr:spPr>
    </xdr:pic>
    <xdr:clientData/>
  </xdr:twoCellAnchor>
  <xdr:twoCellAnchor editAs="oneCell">
    <xdr:from>
      <xdr:col>15</xdr:col>
      <xdr:colOff>161925</xdr:colOff>
      <xdr:row>22</xdr:row>
      <xdr:rowOff>161925</xdr:rowOff>
    </xdr:from>
    <xdr:to>
      <xdr:col>15</xdr:col>
      <xdr:colOff>716709</xdr:colOff>
      <xdr:row>24</xdr:row>
      <xdr:rowOff>79655</xdr:rowOff>
    </xdr:to>
    <xdr:pic>
      <xdr:nvPicPr>
        <xdr:cNvPr id="55" name="Image 54">
          <a:hlinkClick xmlns:r="http://schemas.openxmlformats.org/officeDocument/2006/relationships" r:id="rId32" tooltip="Cliquer pour obtenir de l'aide"/>
        </xdr:cNvPr>
        <xdr:cNvPicPr>
          <a:picLocks noChangeAspect="1"/>
        </xdr:cNvPicPr>
      </xdr:nvPicPr>
      <xdr:blipFill>
        <a:blip xmlns:r="http://schemas.openxmlformats.org/officeDocument/2006/relationships" r:embed="rId33"/>
        <a:stretch>
          <a:fillRect/>
        </a:stretch>
      </xdr:blipFill>
      <xdr:spPr>
        <a:xfrm>
          <a:off x="11591925" y="4352925"/>
          <a:ext cx="554784" cy="298730"/>
        </a:xfrm>
        <a:prstGeom prst="rect">
          <a:avLst/>
        </a:prstGeom>
      </xdr:spPr>
    </xdr:pic>
    <xdr:clientData/>
  </xdr:twoCellAnchor>
  <xdr:twoCellAnchor>
    <xdr:from>
      <xdr:col>13</xdr:col>
      <xdr:colOff>390525</xdr:colOff>
      <xdr:row>17</xdr:row>
      <xdr:rowOff>171451</xdr:rowOff>
    </xdr:from>
    <xdr:to>
      <xdr:col>16</xdr:col>
      <xdr:colOff>295275</xdr:colOff>
      <xdr:row>20</xdr:row>
      <xdr:rowOff>180975</xdr:rowOff>
    </xdr:to>
    <xdr:sp macro="" textlink="">
      <xdr:nvSpPr>
        <xdr:cNvPr id="33" name="Rectangle à coins arrondis 32">
          <a:hlinkClick xmlns:r="http://schemas.openxmlformats.org/officeDocument/2006/relationships" r:id="rId34"/>
        </xdr:cNvPr>
        <xdr:cNvSpPr/>
      </xdr:nvSpPr>
      <xdr:spPr>
        <a:xfrm>
          <a:off x="10296525" y="3409951"/>
          <a:ext cx="2190750" cy="581024"/>
        </a:xfrm>
        <a:prstGeom prst="roundRect">
          <a:avLst/>
        </a:prstGeom>
        <a:gradFill rotWithShape="1">
          <a:gsLst>
            <a:gs pos="0">
              <a:srgbClr val="1F497D">
                <a:lumMod val="40000"/>
                <a:lumOff val="60000"/>
              </a:srgbClr>
            </a:gs>
            <a:gs pos="80000">
              <a:srgbClr val="4BACC6">
                <a:shade val="93000"/>
                <a:satMod val="130000"/>
              </a:srgbClr>
            </a:gs>
            <a:gs pos="100000">
              <a:srgbClr val="4BACC6">
                <a:shade val="94000"/>
                <a:satMod val="135000"/>
              </a:srgbClr>
            </a:gs>
          </a:gsLst>
          <a:lin ang="16200000" scaled="0"/>
        </a:gradFill>
        <a:ln w="28575">
          <a:solidFill>
            <a:sysClr val="window" lastClr="FFFFFF"/>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smtClean="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          Estimation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smtClean="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          Financiaire</a:t>
          </a:r>
        </a:p>
      </xdr:txBody>
    </xdr:sp>
    <xdr:clientData/>
  </xdr:twoCellAnchor>
  <xdr:twoCellAnchor>
    <xdr:from>
      <xdr:col>13</xdr:col>
      <xdr:colOff>438150</xdr:colOff>
      <xdr:row>18</xdr:row>
      <xdr:rowOff>47625</xdr:rowOff>
    </xdr:from>
    <xdr:to>
      <xdr:col>14</xdr:col>
      <xdr:colOff>285750</xdr:colOff>
      <xdr:row>20</xdr:row>
      <xdr:rowOff>123825</xdr:rowOff>
    </xdr:to>
    <xdr:sp macro="" textlink="">
      <xdr:nvSpPr>
        <xdr:cNvPr id="14" name="ZoneTexte 13">
          <a:hlinkClick xmlns:r="http://schemas.openxmlformats.org/officeDocument/2006/relationships" r:id="rId35" tooltip="Cliquer pour aller à la feuille de Estimation financiaire"/>
        </xdr:cNvPr>
        <xdr:cNvSpPr txBox="1"/>
      </xdr:nvSpPr>
      <xdr:spPr>
        <a:xfrm>
          <a:off x="10344150" y="3476625"/>
          <a:ext cx="60960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13</xdr:col>
      <xdr:colOff>409833</xdr:colOff>
      <xdr:row>18</xdr:row>
      <xdr:rowOff>49761</xdr:rowOff>
    </xdr:from>
    <xdr:ext cx="658514" cy="434239"/>
    <xdr:sp macro="" textlink="">
      <xdr:nvSpPr>
        <xdr:cNvPr id="16" name="Rectangle 15">
          <a:hlinkClick xmlns:r="http://schemas.openxmlformats.org/officeDocument/2006/relationships" r:id="rId36" tooltip="Cliquer pour aller à la feuille de Estimation financiaire"/>
        </xdr:cNvPr>
        <xdr:cNvSpPr/>
      </xdr:nvSpPr>
      <xdr:spPr>
        <a:xfrm rot="20947838">
          <a:off x="10315833" y="3478761"/>
          <a:ext cx="658514" cy="434239"/>
        </a:xfrm>
        <a:prstGeom prst="rect">
          <a:avLst/>
        </a:prstGeom>
        <a:noFill/>
      </xdr:spPr>
      <xdr:txBody>
        <a:bodyPr wrap="none" lIns="91440" tIns="45720" rIns="91440" bIns="45720">
          <a:noAutofit/>
        </a:bodyPr>
        <a:lstStyle/>
        <a:p>
          <a:pPr algn="ctr"/>
          <a:r>
            <a:rPr lang="fr-FR" sz="2400" b="1" cap="all" spc="0">
              <a:ln w="9000" cmpd="sng">
                <a:solidFill>
                  <a:schemeClr val="accent4">
                    <a:shade val="50000"/>
                    <a:satMod val="120000"/>
                  </a:schemeClr>
                </a:solidFill>
                <a:prstDash val="solid"/>
              </a:ln>
              <a:solidFill>
                <a:srgbClr val="00B050"/>
              </a:solidFill>
              <a:effectLst>
                <a:reflection blurRad="12700" stA="28000" endPos="45000" dist="1000" dir="5400000" sy="-100000" algn="bl" rotWithShape="0"/>
              </a:effectLst>
            </a:rPr>
            <a:t>F</a:t>
          </a:r>
          <a:r>
            <a:rPr lang="fr-FR" sz="2400" b="1" cap="all" spc="0">
              <a:ln w="9000" cmpd="sng">
                <a:solidFill>
                  <a:schemeClr val="accent4">
                    <a:shade val="50000"/>
                    <a:satMod val="120000"/>
                  </a:schemeClr>
                </a:solidFill>
                <a:prstDash val="solid"/>
              </a:ln>
              <a:solidFill>
                <a:srgbClr val="FF0000"/>
              </a:solidFill>
              <a:effectLst>
                <a:reflection blurRad="12700" stA="28000" endPos="45000" dist="1000" dir="5400000" sy="-100000" algn="bl" rotWithShape="0"/>
              </a:effectLst>
            </a:rPr>
            <a:t>CF</a:t>
          </a:r>
          <a:r>
            <a:rPr lang="fr-FR" sz="2400" b="1" cap="all" spc="0">
              <a:ln w="9000" cmpd="sng">
                <a:solidFill>
                  <a:schemeClr val="accent4">
                    <a:shade val="50000"/>
                    <a:satMod val="120000"/>
                  </a:schemeClr>
                </a:solidFill>
                <a:prstDash val="solid"/>
              </a:ln>
              <a:solidFill>
                <a:srgbClr val="FFFF00"/>
              </a:solidFill>
              <a:effectLst>
                <a:reflection blurRad="12700" stA="28000" endPos="45000" dist="1000" dir="5400000" sy="-100000" algn="bl" rotWithShape="0"/>
              </a:effectLst>
            </a:rPr>
            <a:t>A</a:t>
          </a:r>
        </a:p>
      </xdr:txBody>
    </xdr:sp>
    <xdr:clientData/>
  </xdr:oneCellAnchor>
  <xdr:oneCellAnchor>
    <xdr:from>
      <xdr:col>15</xdr:col>
      <xdr:colOff>9525</xdr:colOff>
      <xdr:row>14</xdr:row>
      <xdr:rowOff>180975</xdr:rowOff>
    </xdr:from>
    <xdr:ext cx="942975" cy="446276"/>
    <xdr:sp macro="" textlink="">
      <xdr:nvSpPr>
        <xdr:cNvPr id="15" name="ZoneTexte 14">
          <a:hlinkClick xmlns:r="http://schemas.openxmlformats.org/officeDocument/2006/relationships" r:id="rId37"/>
        </xdr:cNvPr>
        <xdr:cNvSpPr txBox="1"/>
      </xdr:nvSpPr>
      <xdr:spPr>
        <a:xfrm>
          <a:off x="11439525" y="2847975"/>
          <a:ext cx="942975" cy="446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fr-FR" sz="1200" b="1">
              <a:latin typeface="Times New Roman" panose="02020603050405020304" pitchFamily="18" charset="0"/>
              <a:cs typeface="Times New Roman" panose="02020603050405020304" pitchFamily="18" charset="0"/>
            </a:rPr>
            <a:t>Câblage et protection</a:t>
          </a:r>
        </a:p>
      </xdr:txBody>
    </xdr:sp>
    <xdr:clientData/>
  </xdr:oneCellAnchor>
  <xdr:twoCellAnchor>
    <xdr:from>
      <xdr:col>10</xdr:col>
      <xdr:colOff>552450</xdr:colOff>
      <xdr:row>22</xdr:row>
      <xdr:rowOff>19050</xdr:rowOff>
    </xdr:from>
    <xdr:to>
      <xdr:col>13</xdr:col>
      <xdr:colOff>152400</xdr:colOff>
      <xdr:row>24</xdr:row>
      <xdr:rowOff>180975</xdr:rowOff>
    </xdr:to>
    <xdr:sp macro="[0]!restaurer" textlink="">
      <xdr:nvSpPr>
        <xdr:cNvPr id="35" name="Rectangle à coins arrondis 34"/>
        <xdr:cNvSpPr/>
      </xdr:nvSpPr>
      <xdr:spPr>
        <a:xfrm>
          <a:off x="8172450" y="4210050"/>
          <a:ext cx="1885950" cy="542925"/>
        </a:xfrm>
        <a:prstGeom prst="roundRect">
          <a:avLst/>
        </a:prstGeom>
        <a:solidFill>
          <a:srgbClr val="C0504D"/>
        </a:solidFill>
        <a:ln w="25400" cap="flat" cmpd="sng" algn="ctr">
          <a:solidFill>
            <a:sysClr val="windowText" lastClr="000000">
              <a:shade val="50000"/>
            </a:sysClr>
          </a:solidFill>
          <a:prstDash val="solid"/>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Restaurer et Commencer un nouveau Projet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552450</xdr:rowOff>
    </xdr:from>
    <xdr:ext cx="2066925" cy="419099"/>
    <xdr:sp macro="" textlink="">
      <xdr:nvSpPr>
        <xdr:cNvPr id="6" name="ZoneTexte 5"/>
        <xdr:cNvSpPr txBox="1"/>
      </xdr:nvSpPr>
      <xdr:spPr>
        <a:xfrm>
          <a:off x="9525" y="552450"/>
          <a:ext cx="2066925" cy="419099"/>
        </a:xfrm>
        <a:prstGeom prst="rect">
          <a:avLst/>
        </a:prstGeom>
        <a:solidFill>
          <a:srgbClr val="FFFF00"/>
        </a:solidFill>
        <a:effectLst>
          <a:innerShdw blurRad="114300">
            <a:srgbClr val="92D050"/>
          </a:inn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200" b="1">
              <a:latin typeface="Segoe UI" pitchFamily="34" charset="0"/>
              <a:ea typeface="Segoe UI" pitchFamily="34" charset="0"/>
              <a:cs typeface="Segoe UI" pitchFamily="34" charset="0"/>
            </a:rPr>
            <a:t>Equipement</a:t>
          </a:r>
        </a:p>
      </xdr:txBody>
    </xdr:sp>
    <xdr:clientData/>
  </xdr:oneCellAnchor>
  <xdr:oneCellAnchor>
    <xdr:from>
      <xdr:col>1</xdr:col>
      <xdr:colOff>9525</xdr:colOff>
      <xdr:row>0</xdr:row>
      <xdr:rowOff>552450</xdr:rowOff>
    </xdr:from>
    <xdr:ext cx="771526" cy="419100"/>
    <xdr:sp macro="" textlink="">
      <xdr:nvSpPr>
        <xdr:cNvPr id="7" name="ZoneTexte 6"/>
        <xdr:cNvSpPr txBox="1"/>
      </xdr:nvSpPr>
      <xdr:spPr>
        <a:xfrm>
          <a:off x="2066925" y="552450"/>
          <a:ext cx="771526" cy="419100"/>
        </a:xfrm>
        <a:prstGeom prst="rect">
          <a:avLst/>
        </a:prstGeom>
        <a:solidFill>
          <a:srgbClr val="FFFF00"/>
        </a:solidFill>
        <a:ln>
          <a:noFill/>
        </a:ln>
        <a:effectLst>
          <a:innerShdw blurRad="114300">
            <a:srgbClr val="92D050"/>
          </a:innerShdw>
        </a:effectLst>
      </xdr:spPr>
      <xdr:txBody>
        <a:bodyPr vertOverflow="clip" horzOverflow="clip" wrap="square"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2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Qté</a:t>
          </a:r>
        </a:p>
      </xdr:txBody>
    </xdr:sp>
    <xdr:clientData/>
  </xdr:oneCellAnchor>
  <xdr:oneCellAnchor>
    <xdr:from>
      <xdr:col>2</xdr:col>
      <xdr:colOff>9525</xdr:colOff>
      <xdr:row>0</xdr:row>
      <xdr:rowOff>552451</xdr:rowOff>
    </xdr:from>
    <xdr:ext cx="2266950" cy="409574"/>
    <xdr:sp macro="" textlink="">
      <xdr:nvSpPr>
        <xdr:cNvPr id="9" name="ZoneTexte 8"/>
        <xdr:cNvSpPr txBox="1"/>
      </xdr:nvSpPr>
      <xdr:spPr>
        <a:xfrm>
          <a:off x="2609850" y="552451"/>
          <a:ext cx="2266950" cy="409574"/>
        </a:xfrm>
        <a:prstGeom prst="rect">
          <a:avLst/>
        </a:prstGeom>
        <a:solidFill>
          <a:srgbClr val="FFFF00"/>
        </a:solidFill>
        <a:ln>
          <a:noFill/>
        </a:ln>
        <a:effectLst>
          <a:innerShdw blurRad="114300">
            <a:srgbClr val="92D050"/>
          </a:innerShdw>
        </a:effectLst>
      </xdr:spPr>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1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Temps D'utilisation (h</a:t>
          </a:r>
          <a:r>
            <a:rPr kumimoji="0" lang="fr-FR" sz="1200" b="1" i="0" u="none" strike="noStrike" kern="0" cap="none" spc="0" normalizeH="0" baseline="0" noProof="0" smtClean="0">
              <a:ln>
                <a:noFill/>
              </a:ln>
              <a:solidFill>
                <a:sysClr val="windowText" lastClr="000000"/>
              </a:solidFill>
              <a:effectLst/>
              <a:uLnTx/>
              <a:uFillTx/>
              <a:latin typeface="Times New Roman" pitchFamily="18" charset="0"/>
              <a:ea typeface="+mn-ea"/>
              <a:cs typeface="Times New Roman" pitchFamily="18" charset="0"/>
            </a:rPr>
            <a:t>)</a:t>
          </a:r>
        </a:p>
      </xdr:txBody>
    </xdr:sp>
    <xdr:clientData/>
  </xdr:oneCellAnchor>
  <xdr:oneCellAnchor>
    <xdr:from>
      <xdr:col>4</xdr:col>
      <xdr:colOff>9526</xdr:colOff>
      <xdr:row>0</xdr:row>
      <xdr:rowOff>552449</xdr:rowOff>
    </xdr:from>
    <xdr:ext cx="1885950" cy="409575"/>
    <xdr:sp macro="" textlink="">
      <xdr:nvSpPr>
        <xdr:cNvPr id="11" name="ZoneTexte 10"/>
        <xdr:cNvSpPr txBox="1"/>
      </xdr:nvSpPr>
      <xdr:spPr>
        <a:xfrm>
          <a:off x="4343401" y="552449"/>
          <a:ext cx="1885950" cy="409575"/>
        </a:xfrm>
        <a:prstGeom prst="rect">
          <a:avLst/>
        </a:prstGeom>
        <a:solidFill>
          <a:srgbClr val="FFFF00"/>
        </a:solidFill>
        <a:ln>
          <a:noFill/>
        </a:ln>
        <a:effectLst>
          <a:innerShdw blurRad="114300">
            <a:srgbClr val="92D050"/>
          </a:innerShdw>
        </a:effectLst>
      </xdr:spPr>
      <xdr:txBody>
        <a:bodyPr vertOverflow="clip" horzOverflow="clip" wrap="square"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1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Puissance Nominale (W)</a:t>
          </a:r>
        </a:p>
      </xdr:txBody>
    </xdr:sp>
    <xdr:clientData/>
  </xdr:oneCellAnchor>
  <xdr:oneCellAnchor>
    <xdr:from>
      <xdr:col>5</xdr:col>
      <xdr:colOff>9525</xdr:colOff>
      <xdr:row>0</xdr:row>
      <xdr:rowOff>552450</xdr:rowOff>
    </xdr:from>
    <xdr:ext cx="2057400" cy="419100"/>
    <xdr:sp macro="" textlink="">
      <xdr:nvSpPr>
        <xdr:cNvPr id="13" name="ZoneTexte 12"/>
        <xdr:cNvSpPr txBox="1"/>
      </xdr:nvSpPr>
      <xdr:spPr>
        <a:xfrm>
          <a:off x="6181725" y="552450"/>
          <a:ext cx="2057400" cy="419100"/>
        </a:xfrm>
        <a:prstGeom prst="rect">
          <a:avLst/>
        </a:prstGeom>
        <a:solidFill>
          <a:srgbClr val="FFFF00"/>
        </a:solidFill>
        <a:ln>
          <a:noFill/>
        </a:ln>
        <a:effectLst>
          <a:innerShdw blurRad="114300">
            <a:srgbClr val="92D050"/>
          </a:innerShdw>
        </a:effectLst>
      </xdr:spPr>
      <xdr:txBody>
        <a:bodyPr vertOverflow="clip" horzOverflow="clip" wrap="square"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1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Puissance de démarrage (W)</a:t>
          </a:r>
        </a:p>
      </xdr:txBody>
    </xdr:sp>
    <xdr:clientData/>
  </xdr:oneCellAnchor>
  <xdr:oneCellAnchor>
    <xdr:from>
      <xdr:col>6</xdr:col>
      <xdr:colOff>0</xdr:colOff>
      <xdr:row>0</xdr:row>
      <xdr:rowOff>552450</xdr:rowOff>
    </xdr:from>
    <xdr:ext cx="1866900" cy="419100"/>
    <xdr:sp macro="" textlink="">
      <xdr:nvSpPr>
        <xdr:cNvPr id="14" name="ZoneTexte 13"/>
        <xdr:cNvSpPr txBox="1"/>
      </xdr:nvSpPr>
      <xdr:spPr>
        <a:xfrm>
          <a:off x="8181975" y="552450"/>
          <a:ext cx="1866900" cy="419100"/>
        </a:xfrm>
        <a:prstGeom prst="rect">
          <a:avLst/>
        </a:prstGeom>
        <a:solidFill>
          <a:srgbClr val="FFFF00"/>
        </a:solidFill>
        <a:ln>
          <a:noFill/>
        </a:ln>
        <a:effectLst>
          <a:innerShdw blurRad="114300">
            <a:srgbClr val="92D050"/>
          </a:innerShdw>
        </a:effectLst>
      </xdr:spPr>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2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Puissance Totale (kW)</a:t>
          </a:r>
        </a:p>
      </xdr:txBody>
    </xdr:sp>
    <xdr:clientData/>
  </xdr:oneCellAnchor>
  <xdr:oneCellAnchor>
    <xdr:from>
      <xdr:col>7</xdr:col>
      <xdr:colOff>19050</xdr:colOff>
      <xdr:row>0</xdr:row>
      <xdr:rowOff>552450</xdr:rowOff>
    </xdr:from>
    <xdr:ext cx="2057400" cy="419099"/>
    <xdr:sp macro="" textlink="">
      <xdr:nvSpPr>
        <xdr:cNvPr id="16" name="ZoneTexte 15"/>
        <xdr:cNvSpPr txBox="1"/>
      </xdr:nvSpPr>
      <xdr:spPr>
        <a:xfrm>
          <a:off x="10048875" y="552450"/>
          <a:ext cx="2057400" cy="419099"/>
        </a:xfrm>
        <a:prstGeom prst="rect">
          <a:avLst/>
        </a:prstGeom>
        <a:solidFill>
          <a:srgbClr val="FFFF00"/>
        </a:solidFill>
        <a:ln>
          <a:noFill/>
        </a:ln>
        <a:effectLst>
          <a:innerShdw blurRad="114300">
            <a:srgbClr val="92D050"/>
          </a:innerShdw>
        </a:effectLst>
      </xdr:spPr>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2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Energie Besoin (kWh/j)</a:t>
          </a:r>
        </a:p>
      </xdr:txBody>
    </xdr:sp>
    <xdr:clientData/>
  </xdr:oneCellAnchor>
  <xdr:twoCellAnchor>
    <xdr:from>
      <xdr:col>0</xdr:col>
      <xdr:colOff>0</xdr:colOff>
      <xdr:row>1</xdr:row>
      <xdr:rowOff>9526</xdr:rowOff>
    </xdr:from>
    <xdr:to>
      <xdr:col>8</xdr:col>
      <xdr:colOff>0</xdr:colOff>
      <xdr:row>1</xdr:row>
      <xdr:rowOff>190500</xdr:rowOff>
    </xdr:to>
    <xdr:sp macro="" textlink="">
      <xdr:nvSpPr>
        <xdr:cNvPr id="2" name="ZoneTexte 1"/>
        <xdr:cNvSpPr txBox="1"/>
      </xdr:nvSpPr>
      <xdr:spPr>
        <a:xfrm>
          <a:off x="0" y="981076"/>
          <a:ext cx="12620625" cy="180974"/>
        </a:xfrm>
        <a:prstGeom prst="rect">
          <a:avLst/>
        </a:prstGeom>
        <a:solidFill>
          <a:srgbClr val="00B0F0"/>
        </a:solidFill>
        <a:ln w="9525" cmpd="sng">
          <a:solidFill>
            <a:schemeClr val="lt1">
              <a:shade val="50000"/>
            </a:schemeClr>
          </a:solidFill>
        </a:ln>
        <a:effectLst>
          <a:glow>
            <a:schemeClr val="accent1"/>
          </a:glow>
          <a:reflection endPos="17000" dir="5400000" sy="-100000" algn="bl" rotWithShape="0"/>
        </a:effectLst>
        <a:scene3d>
          <a:camera prst="orthographicFront">
            <a:rot lat="300000" lon="0" rev="0"/>
          </a:camera>
          <a:lightRig rig="threePt" dir="t"/>
        </a:scene3d>
        <a:sp3d prstMaterial="translucentPowder">
          <a:bevelB/>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400">
              <a:latin typeface="+mn-lt"/>
            </a:rPr>
            <a:t>ECLAIRAGE</a:t>
          </a:r>
        </a:p>
      </xdr:txBody>
    </xdr:sp>
    <xdr:clientData/>
  </xdr:twoCellAnchor>
  <xdr:twoCellAnchor>
    <xdr:from>
      <xdr:col>0</xdr:col>
      <xdr:colOff>0</xdr:colOff>
      <xdr:row>17</xdr:row>
      <xdr:rowOff>200024</xdr:rowOff>
    </xdr:from>
    <xdr:to>
      <xdr:col>8</xdr:col>
      <xdr:colOff>9525</xdr:colOff>
      <xdr:row>18</xdr:row>
      <xdr:rowOff>200024</xdr:rowOff>
    </xdr:to>
    <xdr:sp macro="" textlink="">
      <xdr:nvSpPr>
        <xdr:cNvPr id="28" name="ZoneTexte 27"/>
        <xdr:cNvSpPr txBox="1"/>
      </xdr:nvSpPr>
      <xdr:spPr>
        <a:xfrm>
          <a:off x="0" y="4181474"/>
          <a:ext cx="12106275" cy="200025"/>
        </a:xfrm>
        <a:prstGeom prst="rect">
          <a:avLst/>
        </a:prstGeom>
        <a:solidFill>
          <a:srgbClr val="7030A0"/>
        </a:solidFill>
        <a:ln w="9525" cmpd="sng">
          <a:solidFill>
            <a:sysClr val="window" lastClr="FFFFFF">
              <a:shade val="50000"/>
            </a:sysClr>
          </a:solidFill>
        </a:ln>
        <a:effectLst>
          <a:glow>
            <a:srgbClr val="4F81BD"/>
          </a:glow>
          <a:reflection endPos="17000" dir="5400000" sy="-100000" algn="bl" rotWithShape="0"/>
        </a:effectLst>
        <a:scene3d>
          <a:camera prst="orthographicFront">
            <a:rot lat="300000" lon="0" rev="0"/>
          </a:camera>
          <a:lightRig rig="threePt" dir="t"/>
        </a:scene3d>
        <a:sp3d prstMaterial="translucentPowder">
          <a:bevelB/>
        </a:sp3d>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smtClean="0">
              <a:ln>
                <a:noFill/>
              </a:ln>
              <a:solidFill>
                <a:sysClr val="windowText" lastClr="000000"/>
              </a:solidFill>
              <a:effectLst/>
              <a:uLnTx/>
              <a:uFillTx/>
              <a:latin typeface="Calibri"/>
              <a:ea typeface="+mn-ea"/>
              <a:cs typeface="+mn-cs"/>
            </a:rPr>
            <a:t>EQUIPEMENTS FAIBLE PUISSANCE</a:t>
          </a:r>
        </a:p>
      </xdr:txBody>
    </xdr:sp>
    <xdr:clientData/>
  </xdr:twoCellAnchor>
  <xdr:twoCellAnchor>
    <xdr:from>
      <xdr:col>0</xdr:col>
      <xdr:colOff>0</xdr:colOff>
      <xdr:row>34</xdr:row>
      <xdr:rowOff>200024</xdr:rowOff>
    </xdr:from>
    <xdr:to>
      <xdr:col>8</xdr:col>
      <xdr:colOff>9525</xdr:colOff>
      <xdr:row>35</xdr:row>
      <xdr:rowOff>200024</xdr:rowOff>
    </xdr:to>
    <xdr:sp macro="" textlink="">
      <xdr:nvSpPr>
        <xdr:cNvPr id="29" name="ZoneTexte 28"/>
        <xdr:cNvSpPr txBox="1"/>
      </xdr:nvSpPr>
      <xdr:spPr>
        <a:xfrm>
          <a:off x="0" y="7581899"/>
          <a:ext cx="12106275" cy="200025"/>
        </a:xfrm>
        <a:prstGeom prst="rect">
          <a:avLst/>
        </a:prstGeom>
        <a:solidFill>
          <a:srgbClr val="FF0000"/>
        </a:solidFill>
        <a:ln w="9525" cmpd="sng">
          <a:solidFill>
            <a:sysClr val="window" lastClr="FFFFFF">
              <a:shade val="50000"/>
            </a:sysClr>
          </a:solidFill>
        </a:ln>
        <a:effectLst>
          <a:glow>
            <a:srgbClr val="4F81BD"/>
          </a:glow>
          <a:reflection endPos="17000" dir="5400000" sy="-100000" algn="bl" rotWithShape="0"/>
        </a:effectLst>
        <a:scene3d>
          <a:camera prst="orthographicFront">
            <a:rot lat="300000" lon="0" rev="0"/>
          </a:camera>
          <a:lightRig rig="threePt" dir="t"/>
        </a:scene3d>
        <a:sp3d prstMaterial="translucentPowder">
          <a:bevelB/>
        </a:sp3d>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EQUIPEMENTS FORTE PUISSANCE</a:t>
          </a:r>
        </a:p>
      </xdr:txBody>
    </xdr:sp>
    <xdr:clientData/>
  </xdr:twoCellAnchor>
  <xdr:twoCellAnchor>
    <xdr:from>
      <xdr:col>1</xdr:col>
      <xdr:colOff>0</xdr:colOff>
      <xdr:row>57</xdr:row>
      <xdr:rowOff>19050</xdr:rowOff>
    </xdr:from>
    <xdr:to>
      <xdr:col>6</xdr:col>
      <xdr:colOff>771525</xdr:colOff>
      <xdr:row>64</xdr:row>
      <xdr:rowOff>66675</xdr:rowOff>
    </xdr:to>
    <xdr:sp macro="" textlink="">
      <xdr:nvSpPr>
        <xdr:cNvPr id="8" name="ZoneTexte 7"/>
        <xdr:cNvSpPr txBox="1"/>
      </xdr:nvSpPr>
      <xdr:spPr>
        <a:xfrm>
          <a:off x="2057400" y="12192000"/>
          <a:ext cx="68961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5000"/>
            </a:lnSpc>
            <a:spcAft>
              <a:spcPts val="1000"/>
            </a:spcAft>
          </a:pPr>
          <a:r>
            <a:rPr lang="fr-FR" sz="1100">
              <a:effectLst/>
              <a:latin typeface="Segoe UI" pitchFamily="34" charset="0"/>
              <a:ea typeface="Segoe UI" pitchFamily="34" charset="0"/>
              <a:cs typeface="Segoe UI" pitchFamily="34" charset="0"/>
            </a:rPr>
            <a:t>Afin de réduire les besoins énergétiques calculés ici et ainsi réduire le coût initial d’investissement, une feuille économie d’énergie vous ait proposé. Celle si vous propose des équipements de basse consommation équivalents à ceux qui sont le plus souvent utilisés.</a:t>
          </a:r>
        </a:p>
        <a:p>
          <a:pPr>
            <a:lnSpc>
              <a:spcPct val="115000"/>
            </a:lnSpc>
            <a:spcAft>
              <a:spcPts val="1000"/>
            </a:spcAft>
          </a:pPr>
          <a:r>
            <a:rPr lang="fr-FR" sz="1100">
              <a:effectLst/>
              <a:latin typeface="Segoe UI" pitchFamily="34" charset="0"/>
              <a:ea typeface="Segoe UI" pitchFamily="34" charset="0"/>
              <a:cs typeface="Segoe UI" pitchFamily="34" charset="0"/>
            </a:rPr>
            <a:t>Une fois repéré, si un appareil basse consommation vous parez intéressant, remplacer l’équipement équivalent qui consomme plus d’énergie dans votre bilan de puissance par celui-ci. </a:t>
          </a:r>
        </a:p>
        <a:p>
          <a:endParaRPr lang="fr-FR" sz="1100"/>
        </a:p>
      </xdr:txBody>
    </xdr:sp>
    <xdr:clientData/>
  </xdr:twoCellAnchor>
  <xdr:twoCellAnchor editAs="oneCell">
    <xdr:from>
      <xdr:col>6</xdr:col>
      <xdr:colOff>809625</xdr:colOff>
      <xdr:row>62</xdr:row>
      <xdr:rowOff>9524</xdr:rowOff>
    </xdr:from>
    <xdr:to>
      <xdr:col>7</xdr:col>
      <xdr:colOff>438151</xdr:colOff>
      <xdr:row>64</xdr:row>
      <xdr:rowOff>85725</xdr:rowOff>
    </xdr:to>
    <xdr:pic>
      <xdr:nvPicPr>
        <xdr:cNvPr id="17" name="Image 16">
          <a:hlinkClick xmlns:r="http://schemas.openxmlformats.org/officeDocument/2006/relationships" r:id="rId1" tooltip="Cliquer pour retourner au menu principal"/>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xmlns="" val="0"/>
            </a:ext>
          </a:extLst>
        </a:blip>
        <a:srcRect l="11583" t="31443" r="5791" b="29897"/>
        <a:stretch/>
      </xdr:blipFill>
      <xdr:spPr>
        <a:xfrm>
          <a:off x="8991600" y="13182599"/>
          <a:ext cx="1476376" cy="476251"/>
        </a:xfrm>
        <a:prstGeom prst="rect">
          <a:avLst/>
        </a:prstGeom>
      </xdr:spPr>
    </xdr:pic>
    <xdr:clientData/>
  </xdr:twoCellAnchor>
  <xdr:twoCellAnchor>
    <xdr:from>
      <xdr:col>6</xdr:col>
      <xdr:colOff>790574</xdr:colOff>
      <xdr:row>59</xdr:row>
      <xdr:rowOff>171453</xdr:rowOff>
    </xdr:from>
    <xdr:to>
      <xdr:col>6</xdr:col>
      <xdr:colOff>1562099</xdr:colOff>
      <xdr:row>61</xdr:row>
      <xdr:rowOff>180975</xdr:rowOff>
    </xdr:to>
    <xdr:sp macro="" textlink="">
      <xdr:nvSpPr>
        <xdr:cNvPr id="18" name="Flèche vers le bas 17">
          <a:hlinkClick xmlns:r="http://schemas.openxmlformats.org/officeDocument/2006/relationships" r:id="rId3" tooltip="Cliquer pour aller à la page précédente"/>
        </xdr:cNvPr>
        <xdr:cNvSpPr/>
      </xdr:nvSpPr>
      <xdr:spPr>
        <a:xfrm rot="5400000">
          <a:off x="9153526" y="13592176"/>
          <a:ext cx="409572" cy="771525"/>
        </a:xfrm>
        <a:prstGeom prst="down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9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Précédent</a:t>
          </a:r>
          <a:endParaRPr kumimoji="0" lang="fr-FR" sz="900" b="1" i="0" u="none" strike="noStrike" kern="0" cap="none" spc="0" normalizeH="0" baseline="0" noProof="0" smtClean="0">
            <a:ln>
              <a:noFill/>
            </a:ln>
            <a:solidFill>
              <a:sysClr val="window" lastClr="FFFFFF"/>
            </a:solidFill>
            <a:effectLst/>
            <a:uLnTx/>
            <a:uFillTx/>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6</xdr:col>
      <xdr:colOff>1600200</xdr:colOff>
      <xdr:row>59</xdr:row>
      <xdr:rowOff>161926</xdr:rowOff>
    </xdr:from>
    <xdr:to>
      <xdr:col>7</xdr:col>
      <xdr:colOff>485775</xdr:colOff>
      <xdr:row>61</xdr:row>
      <xdr:rowOff>180976</xdr:rowOff>
    </xdr:to>
    <xdr:sp macro="" textlink="">
      <xdr:nvSpPr>
        <xdr:cNvPr id="20" name="Flèche droite 19">
          <a:hlinkClick xmlns:r="http://schemas.openxmlformats.org/officeDocument/2006/relationships" r:id="rId4" tooltip="cliquer pour aller à la page suivante"/>
        </xdr:cNvPr>
        <xdr:cNvSpPr/>
      </xdr:nvSpPr>
      <xdr:spPr>
        <a:xfrm>
          <a:off x="9782175" y="13763626"/>
          <a:ext cx="733425" cy="419100"/>
        </a:xfrm>
        <a:prstGeom prst="right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9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Suivant</a:t>
          </a:r>
        </a:p>
      </xdr:txBody>
    </xdr:sp>
    <xdr:clientData/>
  </xdr:twoCellAnchor>
  <xdr:twoCellAnchor>
    <xdr:from>
      <xdr:col>0</xdr:col>
      <xdr:colOff>0</xdr:colOff>
      <xdr:row>0</xdr:row>
      <xdr:rowOff>0</xdr:rowOff>
    </xdr:from>
    <xdr:to>
      <xdr:col>9</xdr:col>
      <xdr:colOff>304800</xdr:colOff>
      <xdr:row>0</xdr:row>
      <xdr:rowOff>542924</xdr:rowOff>
    </xdr:to>
    <xdr:sp macro="" textlink="">
      <xdr:nvSpPr>
        <xdr:cNvPr id="21" name="ZoneTexte 20"/>
        <xdr:cNvSpPr txBox="1"/>
      </xdr:nvSpPr>
      <xdr:spPr>
        <a:xfrm>
          <a:off x="0" y="0"/>
          <a:ext cx="13163550" cy="542924"/>
        </a:xfrm>
        <a:prstGeom prst="rect">
          <a:avLst/>
        </a:prstGeom>
        <a:solidFill>
          <a:srgbClr val="9BBB59"/>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ndParaRPr>
        </a:p>
      </xdr:txBody>
    </xdr:sp>
    <xdr:clientData/>
  </xdr:twoCellAnchor>
  <xdr:oneCellAnchor>
    <xdr:from>
      <xdr:col>0</xdr:col>
      <xdr:colOff>349930</xdr:colOff>
      <xdr:row>0</xdr:row>
      <xdr:rowOff>41228</xdr:rowOff>
    </xdr:from>
    <xdr:ext cx="5453288" cy="419217"/>
    <xdr:sp macro="" textlink="">
      <xdr:nvSpPr>
        <xdr:cNvPr id="3" name="Rectangle 2"/>
        <xdr:cNvSpPr/>
      </xdr:nvSpPr>
      <xdr:spPr>
        <a:xfrm>
          <a:off x="349930" y="41228"/>
          <a:ext cx="5453288" cy="419217"/>
        </a:xfrm>
        <a:prstGeom prst="rect">
          <a:avLst/>
        </a:prstGeom>
        <a:noFill/>
      </xdr:spPr>
      <xdr:txBody>
        <a:bodyPr wrap="none" lIns="91440" tIns="45720" rIns="91440" bIns="45720">
          <a:spAutoFit/>
        </a:bodyPr>
        <a:lstStyle/>
        <a:p>
          <a:pPr algn="ctr"/>
          <a:r>
            <a:rPr kumimoji="0" lang="fr-FR" sz="2000" b="0" i="0" u="none" strike="noStrike" kern="0" cap="none" spc="0" normalizeH="0" baseline="0" noProof="0">
              <a:ln w="0"/>
              <a:solidFill>
                <a:schemeClr val="tx1"/>
              </a:solidFill>
              <a:effectLst>
                <a:reflection blurRad="6350" stA="53000" endA="300" endPos="35500" dir="5400000" sy="-90000" algn="bl" rotWithShape="0"/>
              </a:effectLst>
              <a:uLnTx/>
              <a:uFillTx/>
              <a:latin typeface="Century Gothic" pitchFamily="34" charset="0"/>
            </a:rPr>
            <a:t>DIMENSIONNEMENT - BESOIN ENERGETIQUE</a:t>
          </a:r>
          <a:endParaRPr lang="fr-FR" sz="2000" b="0" cap="none" spc="0">
            <a:ln w="0"/>
            <a:solidFill>
              <a:schemeClr val="tx1"/>
            </a:solidFill>
            <a:effectLst>
              <a:reflection blurRad="6350" stA="53000" endA="300" endPos="35500" dir="5400000" sy="-90000" algn="bl" rotWithShape="0"/>
            </a:effectLst>
          </a:endParaRPr>
        </a:p>
      </xdr:txBody>
    </xdr:sp>
    <xdr:clientData/>
  </xdr:oneCellAnchor>
  <xdr:twoCellAnchor>
    <xdr:from>
      <xdr:col>2</xdr:col>
      <xdr:colOff>19050</xdr:colOff>
      <xdr:row>0</xdr:row>
      <xdr:rowOff>781050</xdr:rowOff>
    </xdr:from>
    <xdr:to>
      <xdr:col>2</xdr:col>
      <xdr:colOff>1095375</xdr:colOff>
      <xdr:row>1</xdr:row>
      <xdr:rowOff>0</xdr:rowOff>
    </xdr:to>
    <xdr:sp macro="" textlink="">
      <xdr:nvSpPr>
        <xdr:cNvPr id="4" name="ZoneTexte 3"/>
        <xdr:cNvSpPr txBox="1"/>
      </xdr:nvSpPr>
      <xdr:spPr>
        <a:xfrm>
          <a:off x="2619375" y="781050"/>
          <a:ext cx="1076325" cy="190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latin typeface="Segoe UI" panose="020B0502040204020203" pitchFamily="34" charset="0"/>
              <a:ea typeface="Segoe UI" panose="020B0502040204020203" pitchFamily="34" charset="0"/>
              <a:cs typeface="Segoe UI" panose="020B0502040204020203" pitchFamily="34" charset="0"/>
            </a:rPr>
            <a:t>En</a:t>
          </a:r>
          <a:r>
            <a:rPr lang="fr-FR" sz="1100" b="1" baseline="0">
              <a:latin typeface="Segoe UI" panose="020B0502040204020203" pitchFamily="34" charset="0"/>
              <a:ea typeface="Segoe UI" panose="020B0502040204020203" pitchFamily="34" charset="0"/>
              <a:cs typeface="Segoe UI" panose="020B0502040204020203" pitchFamily="34" charset="0"/>
            </a:rPr>
            <a:t> journée</a:t>
          </a:r>
          <a:endParaRPr lang="fr-FR"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3</xdr:col>
      <xdr:colOff>0</xdr:colOff>
      <xdr:row>0</xdr:row>
      <xdr:rowOff>781050</xdr:rowOff>
    </xdr:from>
    <xdr:to>
      <xdr:col>4</xdr:col>
      <xdr:colOff>0</xdr:colOff>
      <xdr:row>1</xdr:row>
      <xdr:rowOff>0</xdr:rowOff>
    </xdr:to>
    <xdr:sp macro="" textlink="">
      <xdr:nvSpPr>
        <xdr:cNvPr id="5" name="ZoneTexte 4"/>
        <xdr:cNvSpPr txBox="1"/>
      </xdr:nvSpPr>
      <xdr:spPr>
        <a:xfrm>
          <a:off x="3705225" y="781050"/>
          <a:ext cx="1152525" cy="190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latin typeface="Segoe UI" panose="020B0502040204020203" pitchFamily="34" charset="0"/>
              <a:ea typeface="Segoe UI" panose="020B0502040204020203" pitchFamily="34" charset="0"/>
              <a:cs typeface="Segoe UI" panose="020B0502040204020203" pitchFamily="34" charset="0"/>
            </a:rPr>
            <a:t>La nuit</a:t>
          </a:r>
        </a:p>
      </xdr:txBody>
    </xdr:sp>
    <xdr:clientData/>
  </xdr:twoCellAnchor>
  <xdr:twoCellAnchor>
    <xdr:from>
      <xdr:col>8</xdr:col>
      <xdr:colOff>123825</xdr:colOff>
      <xdr:row>0</xdr:row>
      <xdr:rowOff>552449</xdr:rowOff>
    </xdr:from>
    <xdr:to>
      <xdr:col>9</xdr:col>
      <xdr:colOff>314325</xdr:colOff>
      <xdr:row>57</xdr:row>
      <xdr:rowOff>9524</xdr:rowOff>
    </xdr:to>
    <xdr:sp macro="" textlink="">
      <xdr:nvSpPr>
        <xdr:cNvPr id="10" name="ZoneTexte 9"/>
        <xdr:cNvSpPr txBox="1"/>
      </xdr:nvSpPr>
      <xdr:spPr>
        <a:xfrm>
          <a:off x="12687300" y="552449"/>
          <a:ext cx="952500" cy="1283017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209550</xdr:colOff>
      <xdr:row>0</xdr:row>
      <xdr:rowOff>276225</xdr:rowOff>
    </xdr:to>
    <xdr:sp macro="" textlink="">
      <xdr:nvSpPr>
        <xdr:cNvPr id="4" name="ZoneTexte 3"/>
        <xdr:cNvSpPr txBox="1"/>
      </xdr:nvSpPr>
      <xdr:spPr>
        <a:xfrm>
          <a:off x="0" y="0"/>
          <a:ext cx="13163550" cy="276225"/>
        </a:xfrm>
        <a:prstGeom prst="rect">
          <a:avLst/>
        </a:prstGeom>
        <a:solidFill>
          <a:srgbClr val="9BBB59"/>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a typeface="+mn-ea"/>
            <a:cs typeface="+mn-cs"/>
          </a:endParaRPr>
        </a:p>
      </xdr:txBody>
    </xdr:sp>
    <xdr:clientData/>
  </xdr:twoCellAnchor>
  <xdr:twoCellAnchor>
    <xdr:from>
      <xdr:col>0</xdr:col>
      <xdr:colOff>28574</xdr:colOff>
      <xdr:row>0</xdr:row>
      <xdr:rowOff>228600</xdr:rowOff>
    </xdr:from>
    <xdr:to>
      <xdr:col>16</xdr:col>
      <xdr:colOff>219074</xdr:colOff>
      <xdr:row>0</xdr:row>
      <xdr:rowOff>371475</xdr:rowOff>
    </xdr:to>
    <xdr:sp macro="" textlink="">
      <xdr:nvSpPr>
        <xdr:cNvPr id="5" name="Rectangle 4"/>
        <xdr:cNvSpPr/>
      </xdr:nvSpPr>
      <xdr:spPr>
        <a:xfrm>
          <a:off x="28574" y="228600"/>
          <a:ext cx="13144500" cy="142875"/>
        </a:xfrm>
        <a:prstGeom prst="rect">
          <a:avLst/>
        </a:prstGeom>
        <a:solidFill>
          <a:srgbClr val="9BBB59"/>
        </a:solidFill>
        <a:ln w="25400" cap="flat" cmpd="sng" algn="ctr">
          <a:solidFill>
            <a:srgbClr val="9BBB59"/>
          </a:solidFill>
          <a:prstDash val="solid"/>
        </a:ln>
        <a:effectLst>
          <a:outerShdw blurRad="393700" sx="132000" sy="132000" algn="ctr" rotWithShape="0">
            <a:srgbClr val="1F497D">
              <a:lumMod val="60000"/>
              <a:lumOff val="40000"/>
              <a:alpha val="40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1</xdr:col>
      <xdr:colOff>10949</xdr:colOff>
      <xdr:row>69</xdr:row>
      <xdr:rowOff>197068</xdr:rowOff>
    </xdr:from>
    <xdr:to>
      <xdr:col>5</xdr:col>
      <xdr:colOff>98535</xdr:colOff>
      <xdr:row>80</xdr:row>
      <xdr:rowOff>54741</xdr:rowOff>
    </xdr:to>
    <xdr:sp macro="" textlink="">
      <xdr:nvSpPr>
        <xdr:cNvPr id="3" name="ZoneTexte 2"/>
        <xdr:cNvSpPr txBox="1"/>
      </xdr:nvSpPr>
      <xdr:spPr>
        <a:xfrm>
          <a:off x="2178708" y="17571982"/>
          <a:ext cx="6645603" cy="2036380"/>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a:latin typeface="Segoe UI" pitchFamily="34" charset="0"/>
              <a:ea typeface="Segoe UI" pitchFamily="34" charset="0"/>
              <a:cs typeface="Segoe UI" pitchFamily="34" charset="0"/>
            </a:rPr>
            <a:t>Si changer les appareils standards par des équipements équivalents moins consommatrices d’énergie, permet</a:t>
          </a:r>
          <a:r>
            <a:rPr lang="fr-FR" sz="1400" baseline="0">
              <a:latin typeface="Segoe UI" pitchFamily="34" charset="0"/>
              <a:ea typeface="Segoe UI" pitchFamily="34" charset="0"/>
              <a:cs typeface="Segoe UI" pitchFamily="34" charset="0"/>
            </a:rPr>
            <a:t> d'économiser de l'energie, </a:t>
          </a:r>
          <a:r>
            <a:rPr lang="fr-FR" sz="1400">
              <a:latin typeface="Segoe UI" pitchFamily="34" charset="0"/>
              <a:ea typeface="Segoe UI" pitchFamily="34" charset="0"/>
              <a:cs typeface="Segoe UI" pitchFamily="34" charset="0"/>
            </a:rPr>
            <a:t>Rééduquer la façon de consommer contitue également une véritable force dans l’économie. Pour</a:t>
          </a:r>
          <a:r>
            <a:rPr lang="fr-FR" sz="1400" baseline="0">
              <a:latin typeface="Segoe UI" pitchFamily="34" charset="0"/>
              <a:ea typeface="Segoe UI" pitchFamily="34" charset="0"/>
              <a:cs typeface="Segoe UI" pitchFamily="34" charset="0"/>
            </a:rPr>
            <a:t> cela d</a:t>
          </a:r>
          <a:r>
            <a:rPr lang="fr-FR" sz="1400">
              <a:latin typeface="Segoe UI" pitchFamily="34" charset="0"/>
              <a:ea typeface="Segoe UI" pitchFamily="34" charset="0"/>
              <a:cs typeface="Segoe UI" pitchFamily="34" charset="0"/>
            </a:rPr>
            <a:t>es gestes simples peuvent être adoptés :</a:t>
          </a:r>
        </a:p>
        <a:p>
          <a:r>
            <a:rPr lang="fr-FR" sz="1400">
              <a:latin typeface="Segoe UI" pitchFamily="34" charset="0"/>
              <a:ea typeface="Segoe UI" pitchFamily="34" charset="0"/>
              <a:cs typeface="Segoe UI" pitchFamily="34" charset="0"/>
            </a:rPr>
            <a:t>- Eteindre avant de sortir d'une pièce</a:t>
          </a:r>
          <a:r>
            <a:rPr lang="fr-FR" sz="1400" baseline="0">
              <a:latin typeface="Segoe UI" pitchFamily="34" charset="0"/>
              <a:ea typeface="Segoe UI" pitchFamily="34" charset="0"/>
              <a:cs typeface="Segoe UI" pitchFamily="34" charset="0"/>
            </a:rPr>
            <a:t> </a:t>
          </a:r>
          <a:r>
            <a:rPr lang="fr-FR" sz="1400">
              <a:latin typeface="Segoe UI" pitchFamily="34" charset="0"/>
              <a:ea typeface="Segoe UI" pitchFamily="34" charset="0"/>
              <a:cs typeface="Segoe UI" pitchFamily="34" charset="0"/>
            </a:rPr>
            <a:t>;</a:t>
          </a:r>
        </a:p>
        <a:p>
          <a:r>
            <a:rPr lang="fr-FR" sz="1400">
              <a:latin typeface="Segoe UI" pitchFamily="34" charset="0"/>
              <a:ea typeface="Segoe UI" pitchFamily="34" charset="0"/>
              <a:cs typeface="Segoe UI" pitchFamily="34" charset="0"/>
            </a:rPr>
            <a:t>- Arrêter le téléviseur lorsque personne ne regarde ;</a:t>
          </a:r>
        </a:p>
        <a:p>
          <a:r>
            <a:rPr lang="fr-FR" sz="1400">
              <a:latin typeface="Segoe UI" pitchFamily="34" charset="0"/>
              <a:ea typeface="Segoe UI" pitchFamily="34" charset="0"/>
              <a:cs typeface="Segoe UI" pitchFamily="34" charset="0"/>
            </a:rPr>
            <a:t>- Débrancher vos chargeur de téléphone, tablette ou lap-top après utilisation ;</a:t>
          </a:r>
        </a:p>
        <a:p>
          <a:r>
            <a:rPr lang="fr-FR" sz="1400">
              <a:latin typeface="Segoe UI" pitchFamily="34" charset="0"/>
              <a:ea typeface="Segoe UI" pitchFamily="34" charset="0"/>
              <a:cs typeface="Segoe UI" pitchFamily="34" charset="0"/>
            </a:rPr>
            <a:t>- N’utiliser un appareil que lorsque cele est vraiment nécessaire…</a:t>
          </a:r>
        </a:p>
        <a:p>
          <a:endParaRPr lang="fr-FR" sz="1100"/>
        </a:p>
      </xdr:txBody>
    </xdr:sp>
    <xdr:clientData/>
  </xdr:twoCellAnchor>
  <xdr:twoCellAnchor editAs="oneCell">
    <xdr:from>
      <xdr:col>5</xdr:col>
      <xdr:colOff>679121</xdr:colOff>
      <xdr:row>77</xdr:row>
      <xdr:rowOff>10946</xdr:rowOff>
    </xdr:from>
    <xdr:to>
      <xdr:col>6</xdr:col>
      <xdr:colOff>1040085</xdr:colOff>
      <xdr:row>80</xdr:row>
      <xdr:rowOff>32844</xdr:rowOff>
    </xdr:to>
    <xdr:pic>
      <xdr:nvPicPr>
        <xdr:cNvPr id="20" name="Image 19">
          <a:hlinkClick xmlns:r="http://schemas.openxmlformats.org/officeDocument/2006/relationships" r:id="rId1" tooltip="Cliquer pour retourner au menu principal"/>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xmlns="" val="0"/>
            </a:ext>
          </a:extLst>
        </a:blip>
        <a:srcRect l="11583" t="31443" r="5791" b="29897"/>
        <a:stretch/>
      </xdr:blipFill>
      <xdr:spPr>
        <a:xfrm>
          <a:off x="9404897" y="18995256"/>
          <a:ext cx="1751395" cy="613105"/>
        </a:xfrm>
        <a:prstGeom prst="rect">
          <a:avLst/>
        </a:prstGeom>
      </xdr:spPr>
    </xdr:pic>
    <xdr:clientData/>
  </xdr:twoCellAnchor>
  <xdr:twoCellAnchor>
    <xdr:from>
      <xdr:col>5</xdr:col>
      <xdr:colOff>645949</xdr:colOff>
      <xdr:row>74</xdr:row>
      <xdr:rowOff>4</xdr:rowOff>
    </xdr:from>
    <xdr:to>
      <xdr:col>6</xdr:col>
      <xdr:colOff>131378</xdr:colOff>
      <xdr:row>76</xdr:row>
      <xdr:rowOff>54746</xdr:rowOff>
    </xdr:to>
    <xdr:sp macro="" textlink="">
      <xdr:nvSpPr>
        <xdr:cNvPr id="22" name="Flèche vers le bas 21">
          <a:hlinkClick xmlns:r="http://schemas.openxmlformats.org/officeDocument/2006/relationships" r:id="rId3" tooltip="Cliquer pour aller à la page précédente"/>
        </xdr:cNvPr>
        <xdr:cNvSpPr/>
      </xdr:nvSpPr>
      <xdr:spPr>
        <a:xfrm rot="5400000">
          <a:off x="9585215" y="18179617"/>
          <a:ext cx="448880" cy="875860"/>
        </a:xfrm>
        <a:prstGeom prst="down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Précédent</a:t>
          </a:r>
          <a:endParaRPr kumimoji="0" lang="fr-FR" sz="1000" b="1" i="0" u="none" strike="noStrike" kern="0" cap="none" spc="0" normalizeH="0" baseline="0" noProof="0" smtClean="0">
            <a:ln>
              <a:noFill/>
            </a:ln>
            <a:solidFill>
              <a:sysClr val="window" lastClr="FFFFFF"/>
            </a:solidFill>
            <a:effectLst/>
            <a:uLnTx/>
            <a:uFillTx/>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6</xdr:col>
      <xdr:colOff>229916</xdr:colOff>
      <xdr:row>74</xdr:row>
      <xdr:rowOff>1</xdr:rowOff>
    </xdr:from>
    <xdr:to>
      <xdr:col>6</xdr:col>
      <xdr:colOff>1061984</xdr:colOff>
      <xdr:row>76</xdr:row>
      <xdr:rowOff>76640</xdr:rowOff>
    </xdr:to>
    <xdr:sp macro="" textlink="">
      <xdr:nvSpPr>
        <xdr:cNvPr id="23" name="Flèche droite 22">
          <a:hlinkClick xmlns:r="http://schemas.openxmlformats.org/officeDocument/2006/relationships" r:id="rId4" tooltip="cliquer pour aller à la page suivante"/>
        </xdr:cNvPr>
        <xdr:cNvSpPr/>
      </xdr:nvSpPr>
      <xdr:spPr>
        <a:xfrm>
          <a:off x="10346123" y="18393104"/>
          <a:ext cx="832068" cy="470777"/>
        </a:xfrm>
        <a:prstGeom prst="right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Suivant</a:t>
          </a:r>
        </a:p>
      </xdr:txBody>
    </xdr:sp>
    <xdr:clientData/>
  </xdr:twoCellAnchor>
  <xdr:twoCellAnchor>
    <xdr:from>
      <xdr:col>0</xdr:col>
      <xdr:colOff>1</xdr:colOff>
      <xdr:row>0</xdr:row>
      <xdr:rowOff>963448</xdr:rowOff>
    </xdr:from>
    <xdr:to>
      <xdr:col>3</xdr:col>
      <xdr:colOff>2</xdr:colOff>
      <xdr:row>2</xdr:row>
      <xdr:rowOff>10948</xdr:rowOff>
    </xdr:to>
    <xdr:sp macro="" textlink="">
      <xdr:nvSpPr>
        <xdr:cNvPr id="6" name="ZoneTexte 5"/>
        <xdr:cNvSpPr txBox="1"/>
      </xdr:nvSpPr>
      <xdr:spPr>
        <a:xfrm>
          <a:off x="1" y="963448"/>
          <a:ext cx="4882932" cy="28465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600">
              <a:latin typeface="Segoe UI" pitchFamily="34" charset="0"/>
              <a:ea typeface="Segoe UI" pitchFamily="34" charset="0"/>
              <a:cs typeface="Segoe UI" pitchFamily="34" charset="0"/>
            </a:rPr>
            <a:t>Eclairages</a:t>
          </a:r>
          <a:r>
            <a:rPr lang="fr-FR" sz="1600" baseline="0">
              <a:latin typeface="Segoe UI" pitchFamily="34" charset="0"/>
              <a:ea typeface="Segoe UI" pitchFamily="34" charset="0"/>
              <a:cs typeface="Segoe UI" pitchFamily="34" charset="0"/>
            </a:rPr>
            <a:t> conventionnels</a:t>
          </a:r>
          <a:endParaRPr lang="fr-FR" sz="1600">
            <a:latin typeface="Segoe UI" pitchFamily="34" charset="0"/>
            <a:ea typeface="Segoe UI" pitchFamily="34" charset="0"/>
            <a:cs typeface="Segoe UI" pitchFamily="34" charset="0"/>
          </a:endParaRPr>
        </a:p>
      </xdr:txBody>
    </xdr:sp>
    <xdr:clientData/>
  </xdr:twoCellAnchor>
  <xdr:twoCellAnchor>
    <xdr:from>
      <xdr:col>0</xdr:col>
      <xdr:colOff>0</xdr:colOff>
      <xdr:row>0</xdr:row>
      <xdr:rowOff>383190</xdr:rowOff>
    </xdr:from>
    <xdr:to>
      <xdr:col>1</xdr:col>
      <xdr:colOff>0</xdr:colOff>
      <xdr:row>0</xdr:row>
      <xdr:rowOff>963448</xdr:rowOff>
    </xdr:to>
    <xdr:sp macro="" textlink="">
      <xdr:nvSpPr>
        <xdr:cNvPr id="8" name="ZoneTexte 7"/>
        <xdr:cNvSpPr txBox="1"/>
      </xdr:nvSpPr>
      <xdr:spPr>
        <a:xfrm>
          <a:off x="0" y="383190"/>
          <a:ext cx="2167759" cy="5802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a:latin typeface="Segoe UI" pitchFamily="34" charset="0"/>
              <a:ea typeface="Segoe UI" pitchFamily="34" charset="0"/>
              <a:cs typeface="Segoe UI" pitchFamily="34" charset="0"/>
            </a:rPr>
            <a:t>Equipements  Conventionnels</a:t>
          </a:r>
        </a:p>
      </xdr:txBody>
    </xdr:sp>
    <xdr:clientData/>
  </xdr:twoCellAnchor>
  <xdr:twoCellAnchor>
    <xdr:from>
      <xdr:col>1</xdr:col>
      <xdr:colOff>0</xdr:colOff>
      <xdr:row>0</xdr:row>
      <xdr:rowOff>383189</xdr:rowOff>
    </xdr:from>
    <xdr:to>
      <xdr:col>2</xdr:col>
      <xdr:colOff>0</xdr:colOff>
      <xdr:row>0</xdr:row>
      <xdr:rowOff>963447</xdr:rowOff>
    </xdr:to>
    <xdr:sp macro="" textlink="">
      <xdr:nvSpPr>
        <xdr:cNvPr id="25" name="ZoneTexte 24"/>
        <xdr:cNvSpPr txBox="1"/>
      </xdr:nvSpPr>
      <xdr:spPr>
        <a:xfrm>
          <a:off x="2167759" y="383189"/>
          <a:ext cx="1346638" cy="580258"/>
        </a:xfrm>
        <a:prstGeom prst="rect">
          <a:avLst/>
        </a:prstGeom>
        <a:solidFill>
          <a:schemeClr val="accent2">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Durée moyenne de Vie (heure)</a:t>
          </a:r>
        </a:p>
      </xdr:txBody>
    </xdr:sp>
    <xdr:clientData/>
  </xdr:twoCellAnchor>
  <xdr:twoCellAnchor>
    <xdr:from>
      <xdr:col>2</xdr:col>
      <xdr:colOff>10948</xdr:colOff>
      <xdr:row>0</xdr:row>
      <xdr:rowOff>372241</xdr:rowOff>
    </xdr:from>
    <xdr:to>
      <xdr:col>2</xdr:col>
      <xdr:colOff>1368533</xdr:colOff>
      <xdr:row>0</xdr:row>
      <xdr:rowOff>974394</xdr:rowOff>
    </xdr:to>
    <xdr:sp macro="" textlink="">
      <xdr:nvSpPr>
        <xdr:cNvPr id="29" name="ZoneTexte 28"/>
        <xdr:cNvSpPr txBox="1"/>
      </xdr:nvSpPr>
      <xdr:spPr>
        <a:xfrm>
          <a:off x="3525345" y="372241"/>
          <a:ext cx="1357585" cy="602153"/>
        </a:xfrm>
        <a:prstGeom prst="rect">
          <a:avLst/>
        </a:prstGeom>
        <a:solidFill>
          <a:schemeClr val="accent2">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Puissance </a:t>
          </a:r>
          <a:r>
            <a:rPr kumimoji="0" lang="fr-FR" sz="12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consommée</a:t>
          </a: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 (W)</a:t>
          </a:r>
        </a:p>
      </xdr:txBody>
    </xdr:sp>
    <xdr:clientData/>
  </xdr:twoCellAnchor>
  <xdr:twoCellAnchor>
    <xdr:from>
      <xdr:col>3</xdr:col>
      <xdr:colOff>10949</xdr:colOff>
      <xdr:row>0</xdr:row>
      <xdr:rowOff>952500</xdr:rowOff>
    </xdr:from>
    <xdr:to>
      <xdr:col>7</xdr:col>
      <xdr:colOff>10949</xdr:colOff>
      <xdr:row>2</xdr:row>
      <xdr:rowOff>0</xdr:rowOff>
    </xdr:to>
    <xdr:sp macro="" textlink="">
      <xdr:nvSpPr>
        <xdr:cNvPr id="32" name="ZoneTexte 31"/>
        <xdr:cNvSpPr txBox="1"/>
      </xdr:nvSpPr>
      <xdr:spPr>
        <a:xfrm>
          <a:off x="4893880" y="952500"/>
          <a:ext cx="6459483" cy="284655"/>
        </a:xfrm>
        <a:prstGeom prst="rect">
          <a:avLst/>
        </a:prstGeom>
        <a:solidFill>
          <a:schemeClr val="accent1">
            <a:lumMod val="20000"/>
            <a:lumOff val="80000"/>
          </a:schemeClr>
        </a:solidFill>
        <a:ln w="9525" cmpd="sng">
          <a:solidFill>
            <a:sysClr val="window" lastClr="FFFFFF">
              <a:shade val="50000"/>
            </a:sysClr>
          </a:solidFill>
        </a:ln>
        <a:effectLst>
          <a:outerShdw blurRad="50800" dist="50800" dir="5400000" sx="91000" sy="91000" algn="ctr" rotWithShape="0">
            <a:schemeClr val="tx2">
              <a:lumMod val="20000"/>
              <a:lumOff val="80000"/>
              <a:alpha val="0"/>
            </a:schemeClr>
          </a:outerShdw>
        </a:effectLst>
        <a:scene3d>
          <a:camera prst="orthographicFront"/>
          <a:lightRig rig="threePt" dir="t"/>
        </a:scene3d>
        <a:sp3d/>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6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Eclairages LED</a:t>
          </a:r>
        </a:p>
      </xdr:txBody>
    </xdr:sp>
    <xdr:clientData/>
  </xdr:twoCellAnchor>
  <xdr:twoCellAnchor>
    <xdr:from>
      <xdr:col>3</xdr:col>
      <xdr:colOff>10948</xdr:colOff>
      <xdr:row>0</xdr:row>
      <xdr:rowOff>383190</xdr:rowOff>
    </xdr:from>
    <xdr:to>
      <xdr:col>4</xdr:col>
      <xdr:colOff>0</xdr:colOff>
      <xdr:row>0</xdr:row>
      <xdr:rowOff>963448</xdr:rowOff>
    </xdr:to>
    <xdr:sp macro="" textlink="">
      <xdr:nvSpPr>
        <xdr:cNvPr id="35" name="ZoneTexte 34"/>
        <xdr:cNvSpPr txBox="1"/>
      </xdr:nvSpPr>
      <xdr:spPr>
        <a:xfrm>
          <a:off x="4893879" y="383190"/>
          <a:ext cx="2441466" cy="580258"/>
        </a:xfrm>
        <a:prstGeom prst="rect">
          <a:avLst/>
        </a:prstGeom>
        <a:solidFill>
          <a:schemeClr val="accent1">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Equipements Equivalents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Basse consommation</a:t>
          </a:r>
        </a:p>
      </xdr:txBody>
    </xdr:sp>
    <xdr:clientData/>
  </xdr:twoCellAnchor>
  <xdr:twoCellAnchor>
    <xdr:from>
      <xdr:col>5</xdr:col>
      <xdr:colOff>21896</xdr:colOff>
      <xdr:row>0</xdr:row>
      <xdr:rowOff>383188</xdr:rowOff>
    </xdr:from>
    <xdr:to>
      <xdr:col>6</xdr:col>
      <xdr:colOff>0</xdr:colOff>
      <xdr:row>0</xdr:row>
      <xdr:rowOff>963446</xdr:rowOff>
    </xdr:to>
    <xdr:sp macro="" textlink="">
      <xdr:nvSpPr>
        <xdr:cNvPr id="37" name="ZoneTexte 36"/>
        <xdr:cNvSpPr txBox="1"/>
      </xdr:nvSpPr>
      <xdr:spPr>
        <a:xfrm>
          <a:off x="8747672" y="383188"/>
          <a:ext cx="1368535" cy="580258"/>
        </a:xfrm>
        <a:prstGeom prst="rect">
          <a:avLst/>
        </a:prstGeom>
        <a:solidFill>
          <a:schemeClr val="accent1">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Puissance consommée</a:t>
          </a:r>
        </a:p>
      </xdr:txBody>
    </xdr:sp>
    <xdr:clientData/>
  </xdr:twoCellAnchor>
  <xdr:twoCellAnchor>
    <xdr:from>
      <xdr:col>6</xdr:col>
      <xdr:colOff>10949</xdr:colOff>
      <xdr:row>0</xdr:row>
      <xdr:rowOff>383190</xdr:rowOff>
    </xdr:from>
    <xdr:to>
      <xdr:col>7</xdr:col>
      <xdr:colOff>10949</xdr:colOff>
      <xdr:row>0</xdr:row>
      <xdr:rowOff>963448</xdr:rowOff>
    </xdr:to>
    <xdr:sp macro="" textlink="">
      <xdr:nvSpPr>
        <xdr:cNvPr id="38" name="ZoneTexte 37"/>
        <xdr:cNvSpPr txBox="1"/>
      </xdr:nvSpPr>
      <xdr:spPr>
        <a:xfrm>
          <a:off x="10127156" y="383190"/>
          <a:ext cx="1226207" cy="580258"/>
        </a:xfrm>
        <a:prstGeom prst="rect">
          <a:avLst/>
        </a:prstGeom>
        <a:solidFill>
          <a:schemeClr val="accent1">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Economie d'énergie (%)</a:t>
          </a:r>
        </a:p>
      </xdr:txBody>
    </xdr:sp>
    <xdr:clientData/>
  </xdr:twoCellAnchor>
  <xdr:twoCellAnchor>
    <xdr:from>
      <xdr:col>4</xdr:col>
      <xdr:colOff>10949</xdr:colOff>
      <xdr:row>0</xdr:row>
      <xdr:rowOff>383189</xdr:rowOff>
    </xdr:from>
    <xdr:to>
      <xdr:col>5</xdr:col>
      <xdr:colOff>10950</xdr:colOff>
      <xdr:row>0</xdr:row>
      <xdr:rowOff>963447</xdr:rowOff>
    </xdr:to>
    <xdr:sp macro="" textlink="">
      <xdr:nvSpPr>
        <xdr:cNvPr id="40" name="ZoneTexte 39"/>
        <xdr:cNvSpPr txBox="1"/>
      </xdr:nvSpPr>
      <xdr:spPr>
        <a:xfrm>
          <a:off x="7346294" y="383189"/>
          <a:ext cx="1390432" cy="580258"/>
        </a:xfrm>
        <a:prstGeom prst="rect">
          <a:avLst/>
        </a:prstGeom>
        <a:solidFill>
          <a:schemeClr val="accent1">
            <a:lumMod val="20000"/>
            <a:lumOff val="8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2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Durée moyenne de Vie (heure)</a:t>
          </a:r>
        </a:p>
      </xdr:txBody>
    </xdr:sp>
    <xdr:clientData/>
  </xdr:twoCellAnchor>
  <xdr:twoCellAnchor>
    <xdr:from>
      <xdr:col>0</xdr:col>
      <xdr:colOff>0</xdr:colOff>
      <xdr:row>62</xdr:row>
      <xdr:rowOff>1</xdr:rowOff>
    </xdr:from>
    <xdr:to>
      <xdr:col>7</xdr:col>
      <xdr:colOff>1</xdr:colOff>
      <xdr:row>62</xdr:row>
      <xdr:rowOff>229915</xdr:rowOff>
    </xdr:to>
    <xdr:sp macro="" textlink="">
      <xdr:nvSpPr>
        <xdr:cNvPr id="19" name="ZoneTexte 18"/>
        <xdr:cNvSpPr txBox="1"/>
      </xdr:nvSpPr>
      <xdr:spPr>
        <a:xfrm>
          <a:off x="0" y="13061294"/>
          <a:ext cx="11342415" cy="229914"/>
        </a:xfrm>
        <a:prstGeom prst="rect">
          <a:avLst/>
        </a:prstGeom>
        <a:solidFill>
          <a:srgbClr val="4F81BD">
            <a:lumMod val="20000"/>
            <a:lumOff val="80000"/>
          </a:srgbClr>
        </a:solidFill>
        <a:ln w="9525" cmpd="sng">
          <a:solidFill>
            <a:sysClr val="window" lastClr="FFFFFF">
              <a:shade val="50000"/>
            </a:sysClr>
          </a:solidFill>
        </a:ln>
        <a:effectLst>
          <a:outerShdw blurRad="50800" dist="50800" dir="5400000" sx="91000" sy="91000" algn="ctr" rotWithShape="0">
            <a:srgbClr val="1F497D">
              <a:lumMod val="20000"/>
              <a:lumOff val="80000"/>
              <a:alpha val="74000"/>
            </a:srgbClr>
          </a:outerShdw>
        </a:effectLst>
        <a:scene3d>
          <a:camera prst="orthographicFront"/>
          <a:lightRig rig="threePt" dir="t"/>
        </a:scene3d>
        <a:sp3d/>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600" b="0" i="0" u="none" strike="noStrike" kern="0" cap="none" spc="0" normalizeH="0" baseline="0" noProof="0" smtClean="0">
              <a:ln>
                <a:noFill/>
              </a:ln>
              <a:solidFill>
                <a:sysClr val="windowText" lastClr="000000"/>
              </a:solidFill>
              <a:effectLst/>
              <a:uLnTx/>
              <a:uFillTx/>
              <a:latin typeface="Segoe UI" pitchFamily="34" charset="0"/>
              <a:ea typeface="Segoe UI" pitchFamily="34" charset="0"/>
              <a:cs typeface="Segoe UI" pitchFamily="34" charset="0"/>
            </a:rPr>
            <a:t>Equipements faible puissance</a:t>
          </a:r>
        </a:p>
      </xdr:txBody>
    </xdr:sp>
    <xdr:clientData/>
  </xdr:twoCellAnchor>
  <xdr:twoCellAnchor>
    <xdr:from>
      <xdr:col>0</xdr:col>
      <xdr:colOff>0</xdr:colOff>
      <xdr:row>66</xdr:row>
      <xdr:rowOff>1</xdr:rowOff>
    </xdr:from>
    <xdr:to>
      <xdr:col>7</xdr:col>
      <xdr:colOff>10948</xdr:colOff>
      <xdr:row>67</xdr:row>
      <xdr:rowOff>1</xdr:rowOff>
    </xdr:to>
    <xdr:sp macro="" textlink="">
      <xdr:nvSpPr>
        <xdr:cNvPr id="21" name="ZoneTexte 20"/>
        <xdr:cNvSpPr txBox="1"/>
      </xdr:nvSpPr>
      <xdr:spPr>
        <a:xfrm>
          <a:off x="0" y="13904311"/>
          <a:ext cx="11353362" cy="229914"/>
        </a:xfrm>
        <a:prstGeom prst="rect">
          <a:avLst/>
        </a:prstGeom>
        <a:solidFill>
          <a:srgbClr val="C0504D">
            <a:lumMod val="40000"/>
            <a:lumOff val="6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600" b="0" i="0" u="none" strike="noStrike" kern="0" cap="none" spc="0" normalizeH="0" baseline="0" noProof="0">
              <a:ln>
                <a:noFill/>
              </a:ln>
              <a:solidFill>
                <a:sysClr val="windowText" lastClr="000000"/>
              </a:solidFill>
              <a:effectLst/>
              <a:uLnTx/>
              <a:uFillTx/>
              <a:latin typeface="Segoe UI" pitchFamily="34" charset="0"/>
              <a:ea typeface="Segoe UI" pitchFamily="34" charset="0"/>
              <a:cs typeface="Segoe UI" pitchFamily="34" charset="0"/>
            </a:rPr>
            <a:t>Equipements forte puissance</a:t>
          </a:r>
        </a:p>
      </xdr:txBody>
    </xdr:sp>
    <xdr:clientData/>
  </xdr:twoCellAnchor>
  <xdr:oneCellAnchor>
    <xdr:from>
      <xdr:col>0</xdr:col>
      <xdr:colOff>272253</xdr:colOff>
      <xdr:row>0</xdr:row>
      <xdr:rowOff>0</xdr:rowOff>
    </xdr:from>
    <xdr:ext cx="5586529" cy="419217"/>
    <xdr:sp macro="" textlink="">
      <xdr:nvSpPr>
        <xdr:cNvPr id="2" name="Rectangle 1"/>
        <xdr:cNvSpPr/>
      </xdr:nvSpPr>
      <xdr:spPr>
        <a:xfrm>
          <a:off x="272253" y="0"/>
          <a:ext cx="5586529" cy="419217"/>
        </a:xfrm>
        <a:prstGeom prst="rect">
          <a:avLst/>
        </a:prstGeom>
        <a:noFill/>
      </xdr:spPr>
      <xdr:txBody>
        <a:bodyPr wrap="none" lIns="91440" tIns="45720" rIns="91440" bIns="45720">
          <a:spAutoFit/>
        </a:bodyPr>
        <a:lstStyle/>
        <a:p>
          <a:pPr algn="ctr"/>
          <a:r>
            <a:rPr kumimoji="0" lang="fr-FR" sz="2000" b="0" i="0" u="none" strike="noStrike" kern="0" cap="none" spc="0" normalizeH="0" baseline="0" noProof="0">
              <a:ln w="0"/>
              <a:solidFill>
                <a:schemeClr val="tx1"/>
              </a:solidFill>
              <a:effectLst>
                <a:reflection blurRad="6350" stA="53000" endA="300" endPos="35500" dir="5400000" sy="-90000" algn="bl" rotWithShape="0"/>
              </a:effectLst>
              <a:uLnTx/>
              <a:uFillTx/>
              <a:latin typeface="Century Gothic" pitchFamily="34" charset="0"/>
              <a:ea typeface="+mn-ea"/>
              <a:cs typeface="+mn-cs"/>
            </a:rPr>
            <a:t>DIMENSIONNEMENT - ECONOMIE D'ENERGIE</a:t>
          </a:r>
          <a:endParaRPr lang="fr-FR" sz="2000" b="0" cap="none" spc="0">
            <a:ln w="0"/>
            <a:solidFill>
              <a:schemeClr val="tx1"/>
            </a:solidFill>
            <a:effectLst>
              <a:reflection blurRad="6350" stA="53000" endA="300" endPos="35500" dir="5400000" sy="-90000" algn="bl" rotWithShape="0"/>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9526</xdr:colOff>
      <xdr:row>0</xdr:row>
      <xdr:rowOff>19050</xdr:rowOff>
    </xdr:from>
    <xdr:to>
      <xdr:col>10</xdr:col>
      <xdr:colOff>1</xdr:colOff>
      <xdr:row>1</xdr:row>
      <xdr:rowOff>19050</xdr:rowOff>
    </xdr:to>
    <xdr:sp macro="" textlink="">
      <xdr:nvSpPr>
        <xdr:cNvPr id="2" name="ZoneTexte 1"/>
        <xdr:cNvSpPr txBox="1"/>
      </xdr:nvSpPr>
      <xdr:spPr>
        <a:xfrm>
          <a:off x="9526" y="19050"/>
          <a:ext cx="13163550" cy="361950"/>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fr-FR" sz="1600" b="1">
            <a:latin typeface="Century Gothic" pitchFamily="34" charset="0"/>
          </a:endParaRPr>
        </a:p>
      </xdr:txBody>
    </xdr:sp>
    <xdr:clientData/>
  </xdr:twoCellAnchor>
  <xdr:twoCellAnchor>
    <xdr:from>
      <xdr:col>0</xdr:col>
      <xdr:colOff>28575</xdr:colOff>
      <xdr:row>2</xdr:row>
      <xdr:rowOff>9525</xdr:rowOff>
    </xdr:from>
    <xdr:to>
      <xdr:col>9</xdr:col>
      <xdr:colOff>752474</xdr:colOff>
      <xdr:row>3</xdr:row>
      <xdr:rowOff>180975</xdr:rowOff>
    </xdr:to>
    <xdr:sp macro="" textlink="">
      <xdr:nvSpPr>
        <xdr:cNvPr id="3" name="ZoneTexte 2"/>
        <xdr:cNvSpPr txBox="1"/>
      </xdr:nvSpPr>
      <xdr:spPr>
        <a:xfrm>
          <a:off x="28575" y="390525"/>
          <a:ext cx="13134974" cy="36195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200" b="1" i="1">
              <a:latin typeface="Century Gothic" pitchFamily="34" charset="0"/>
            </a:rPr>
            <a:t>Données Administratives</a:t>
          </a:r>
        </a:p>
      </xdr:txBody>
    </xdr:sp>
    <xdr:clientData/>
  </xdr:twoCellAnchor>
  <xdr:twoCellAnchor>
    <xdr:from>
      <xdr:col>0</xdr:col>
      <xdr:colOff>28575</xdr:colOff>
      <xdr:row>9</xdr:row>
      <xdr:rowOff>180976</xdr:rowOff>
    </xdr:from>
    <xdr:to>
      <xdr:col>9</xdr:col>
      <xdr:colOff>742950</xdr:colOff>
      <xdr:row>11</xdr:row>
      <xdr:rowOff>180976</xdr:rowOff>
    </xdr:to>
    <xdr:sp macro="" textlink="">
      <xdr:nvSpPr>
        <xdr:cNvPr id="5" name="ZoneTexte 4"/>
        <xdr:cNvSpPr txBox="1"/>
      </xdr:nvSpPr>
      <xdr:spPr>
        <a:xfrm>
          <a:off x="28575" y="1895476"/>
          <a:ext cx="13125450" cy="381000"/>
        </a:xfrm>
        <a:prstGeom prst="rect">
          <a:avLst/>
        </a:prstGeom>
        <a:solidFill>
          <a:srgbClr val="FFFF66"/>
        </a:solidFill>
        <a:ln w="9525" cmpd="sng">
          <a:solidFill>
            <a:sysClr val="window" lastClr="FFFFFF">
              <a:shade val="50000"/>
            </a:sysClr>
          </a:solidFill>
        </a:ln>
        <a:effectLst>
          <a:outerShdw blurRad="63500" sx="102000" sy="102000" algn="ctr" rotWithShape="0">
            <a:schemeClr val="tx2">
              <a:lumMod val="40000"/>
              <a:lumOff val="60000"/>
              <a:alpha val="40000"/>
            </a:schemeClr>
          </a:outerShdw>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200" b="1" i="1" u="none" strike="noStrike" kern="0" cap="none" spc="0" normalizeH="0" baseline="0" noProof="0" smtClean="0">
              <a:ln>
                <a:noFill/>
              </a:ln>
              <a:solidFill>
                <a:sysClr val="windowText" lastClr="000000"/>
              </a:solidFill>
              <a:effectLst/>
              <a:uLnTx/>
              <a:uFillTx/>
              <a:latin typeface="Century Gothic" pitchFamily="34" charset="0"/>
              <a:ea typeface="+mn-ea"/>
              <a:cs typeface="+mn-cs"/>
            </a:rPr>
            <a:t>Cordonné du Site</a:t>
          </a:r>
        </a:p>
      </xdr:txBody>
    </xdr:sp>
    <xdr:clientData/>
  </xdr:twoCellAnchor>
  <xdr:twoCellAnchor>
    <xdr:from>
      <xdr:col>0</xdr:col>
      <xdr:colOff>38100</xdr:colOff>
      <xdr:row>16</xdr:row>
      <xdr:rowOff>28575</xdr:rowOff>
    </xdr:from>
    <xdr:to>
      <xdr:col>9</xdr:col>
      <xdr:colOff>752475</xdr:colOff>
      <xdr:row>17</xdr:row>
      <xdr:rowOff>180974</xdr:rowOff>
    </xdr:to>
    <xdr:sp macro="" textlink="">
      <xdr:nvSpPr>
        <xdr:cNvPr id="7" name="ZoneTexte 6"/>
        <xdr:cNvSpPr txBox="1"/>
      </xdr:nvSpPr>
      <xdr:spPr>
        <a:xfrm>
          <a:off x="38100" y="3105150"/>
          <a:ext cx="9734550" cy="342899"/>
        </a:xfrm>
        <a:prstGeom prst="rect">
          <a:avLst/>
        </a:prstGeom>
        <a:solidFill>
          <a:srgbClr val="FFFF66"/>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200" b="1" i="1" u="none" strike="noStrike" kern="0" cap="none" spc="0" normalizeH="0" baseline="0" noProof="0" smtClean="0">
              <a:ln>
                <a:noFill/>
              </a:ln>
              <a:solidFill>
                <a:sysClr val="windowText" lastClr="000000"/>
              </a:solidFill>
              <a:effectLst/>
              <a:uLnTx/>
              <a:uFillTx/>
              <a:latin typeface="Century Gothic" pitchFamily="34" charset="0"/>
              <a:ea typeface="+mn-ea"/>
              <a:cs typeface="+mn-cs"/>
            </a:rPr>
            <a:t>Solution à supporter</a:t>
          </a:r>
        </a:p>
      </xdr:txBody>
    </xdr:sp>
    <xdr:clientData/>
  </xdr:twoCellAnchor>
  <xdr:twoCellAnchor>
    <xdr:from>
      <xdr:col>0</xdr:col>
      <xdr:colOff>28575</xdr:colOff>
      <xdr:row>19</xdr:row>
      <xdr:rowOff>9525</xdr:rowOff>
    </xdr:from>
    <xdr:to>
      <xdr:col>9</xdr:col>
      <xdr:colOff>742950</xdr:colOff>
      <xdr:row>20</xdr:row>
      <xdr:rowOff>180975</xdr:rowOff>
    </xdr:to>
    <xdr:sp macro="" textlink="">
      <xdr:nvSpPr>
        <xdr:cNvPr id="9" name="ZoneTexte 8"/>
        <xdr:cNvSpPr txBox="1"/>
      </xdr:nvSpPr>
      <xdr:spPr>
        <a:xfrm>
          <a:off x="28575" y="3657600"/>
          <a:ext cx="13125450" cy="361950"/>
        </a:xfrm>
        <a:prstGeom prst="rect">
          <a:avLst/>
        </a:prstGeom>
        <a:solidFill>
          <a:srgbClr val="FFFF66"/>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200" b="1" i="1" u="none" strike="noStrike" kern="0" cap="none" spc="0" normalizeH="0" baseline="0" noProof="0" smtClean="0">
              <a:ln>
                <a:noFill/>
              </a:ln>
              <a:solidFill>
                <a:sysClr val="windowText" lastClr="000000"/>
              </a:solidFill>
              <a:effectLst/>
              <a:uLnTx/>
              <a:uFillTx/>
              <a:latin typeface="Century Gothic" pitchFamily="34" charset="0"/>
              <a:ea typeface="+mn-ea"/>
              <a:cs typeface="+mn-cs"/>
            </a:rPr>
            <a:t>Système de pose de panneaux</a:t>
          </a:r>
        </a:p>
      </xdr:txBody>
    </xdr:sp>
    <xdr:clientData/>
  </xdr:twoCellAnchor>
  <xdr:twoCellAnchor>
    <xdr:from>
      <xdr:col>0</xdr:col>
      <xdr:colOff>28575</xdr:colOff>
      <xdr:row>51</xdr:row>
      <xdr:rowOff>9525</xdr:rowOff>
    </xdr:from>
    <xdr:to>
      <xdr:col>9</xdr:col>
      <xdr:colOff>742950</xdr:colOff>
      <xdr:row>52</xdr:row>
      <xdr:rowOff>180975</xdr:rowOff>
    </xdr:to>
    <xdr:sp macro="" textlink="">
      <xdr:nvSpPr>
        <xdr:cNvPr id="10" name="ZoneTexte 9"/>
        <xdr:cNvSpPr txBox="1"/>
      </xdr:nvSpPr>
      <xdr:spPr>
        <a:xfrm>
          <a:off x="28575" y="10229850"/>
          <a:ext cx="13125450" cy="361950"/>
        </a:xfrm>
        <a:prstGeom prst="rect">
          <a:avLst/>
        </a:prstGeom>
        <a:solidFill>
          <a:srgbClr val="FFFF66"/>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200" b="1" i="1" u="none" strike="noStrike" kern="0" cap="none" spc="0" normalizeH="0" baseline="0" noProof="0" smtClean="0">
              <a:ln>
                <a:noFill/>
              </a:ln>
              <a:solidFill>
                <a:sysClr val="windowText" lastClr="000000"/>
              </a:solidFill>
              <a:effectLst/>
              <a:uLnTx/>
              <a:uFillTx/>
              <a:latin typeface="Century Gothic" pitchFamily="34" charset="0"/>
              <a:ea typeface="+mn-ea"/>
              <a:cs typeface="+mn-cs"/>
            </a:rPr>
            <a:t>Type d'installation</a:t>
          </a:r>
        </a:p>
      </xdr:txBody>
    </xdr:sp>
    <xdr:clientData/>
  </xdr:twoCellAnchor>
  <xdr:twoCellAnchor>
    <xdr:from>
      <xdr:col>1</xdr:col>
      <xdr:colOff>571500</xdr:colOff>
      <xdr:row>70</xdr:row>
      <xdr:rowOff>47625</xdr:rowOff>
    </xdr:from>
    <xdr:to>
      <xdr:col>5</xdr:col>
      <xdr:colOff>1219200</xdr:colOff>
      <xdr:row>77</xdr:row>
      <xdr:rowOff>180975</xdr:rowOff>
    </xdr:to>
    <xdr:sp macro="" textlink="">
      <xdr:nvSpPr>
        <xdr:cNvPr id="11" name="ZoneTexte 10"/>
        <xdr:cNvSpPr txBox="1"/>
      </xdr:nvSpPr>
      <xdr:spPr>
        <a:xfrm>
          <a:off x="2085975" y="13716000"/>
          <a:ext cx="6981825" cy="1466850"/>
        </a:xfrm>
        <a:prstGeom prst="rect">
          <a:avLst/>
        </a:prstGeom>
        <a:solidFill>
          <a:schemeClr val="accent1">
            <a:lumMod val="20000"/>
            <a:lumOff val="80000"/>
          </a:schemeClr>
        </a:solidFill>
        <a:ln w="9525" cmpd="sng">
          <a:solidFill>
            <a:schemeClr val="lt1">
              <a:shade val="50000"/>
            </a:schemeClr>
          </a:solidFill>
        </a:ln>
        <a:effectLst>
          <a:outerShdw blurRad="63500" sx="102000" sy="102000" algn="ctr" rotWithShape="0">
            <a:srgbClr val="92D050">
              <a:alpha val="40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t>Note</a:t>
          </a:r>
          <a:r>
            <a:rPr lang="fr-FR" sz="1100"/>
            <a:t> : Avant de renseigner cette feuille du logiciel 237 </a:t>
          </a:r>
          <a:r>
            <a:rPr lang="fr-FR" sz="1100" i="1"/>
            <a:t>ES</a:t>
          </a:r>
          <a:r>
            <a:rPr lang="fr-FR" sz="1100"/>
            <a:t>.Calcul de façon éfficace, une </a:t>
          </a:r>
          <a:r>
            <a:rPr lang="fr-FR" sz="1100" baseline="0"/>
            <a:t> décente sur le terrain doit être éffectuée. Pour ladite décente, vous pouvez vous  munir des élements suivants :</a:t>
          </a:r>
        </a:p>
        <a:p>
          <a:r>
            <a:rPr lang="fr-FR" sz="1100" baseline="0"/>
            <a:t>- Fiche de consignation de données PV ;</a:t>
          </a:r>
        </a:p>
        <a:p>
          <a:r>
            <a:rPr lang="fr-FR" sz="1100" baseline="0"/>
            <a:t>- GPS ;</a:t>
          </a:r>
        </a:p>
        <a:p>
          <a:r>
            <a:rPr lang="fr-FR" sz="1100" baseline="0"/>
            <a:t>- Boussole ;</a:t>
          </a:r>
        </a:p>
        <a:p>
          <a:r>
            <a:rPr lang="fr-FR" sz="1100" baseline="0"/>
            <a:t>- Clinomètre ;</a:t>
          </a:r>
        </a:p>
        <a:p>
          <a:r>
            <a:rPr lang="fr-FR" sz="1100" baseline="0"/>
            <a:t>- Mètre ruban ;</a:t>
          </a:r>
        </a:p>
        <a:p>
          <a:r>
            <a:rPr lang="fr-FR" sz="1100" baseline="0"/>
            <a:t>- Appareil photo...</a:t>
          </a:r>
          <a:endParaRPr lang="fr-FR" sz="1100"/>
        </a:p>
      </xdr:txBody>
    </xdr:sp>
    <xdr:clientData/>
  </xdr:twoCellAnchor>
  <xdr:twoCellAnchor>
    <xdr:from>
      <xdr:col>0</xdr:col>
      <xdr:colOff>28575</xdr:colOff>
      <xdr:row>54</xdr:row>
      <xdr:rowOff>19050</xdr:rowOff>
    </xdr:from>
    <xdr:to>
      <xdr:col>10</xdr:col>
      <xdr:colOff>0</xdr:colOff>
      <xdr:row>55</xdr:row>
      <xdr:rowOff>171450</xdr:rowOff>
    </xdr:to>
    <xdr:sp macro="" textlink="">
      <xdr:nvSpPr>
        <xdr:cNvPr id="12" name="ZoneTexte 11"/>
        <xdr:cNvSpPr txBox="1"/>
      </xdr:nvSpPr>
      <xdr:spPr>
        <a:xfrm>
          <a:off x="28575" y="10810875"/>
          <a:ext cx="13144500" cy="342900"/>
        </a:xfrm>
        <a:prstGeom prst="rect">
          <a:avLst/>
        </a:prstGeom>
        <a:solidFill>
          <a:srgbClr val="FFFF66"/>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200" b="1" i="1" u="none" strike="noStrike" kern="0" cap="none" spc="0" normalizeH="0" baseline="0" noProof="0" smtClean="0">
              <a:ln>
                <a:noFill/>
              </a:ln>
              <a:solidFill>
                <a:sysClr val="windowText" lastClr="000000"/>
              </a:solidFill>
              <a:effectLst/>
              <a:uLnTx/>
              <a:uFillTx/>
              <a:latin typeface="Century Gothic" pitchFamily="34" charset="0"/>
              <a:ea typeface="+mn-ea"/>
              <a:cs typeface="+mn-cs"/>
            </a:rPr>
            <a:t>Mesure d'ombrage Proche</a:t>
          </a:r>
        </a:p>
      </xdr:txBody>
    </xdr:sp>
    <xdr:clientData/>
  </xdr:twoCellAnchor>
  <xdr:twoCellAnchor>
    <xdr:from>
      <xdr:col>0</xdr:col>
      <xdr:colOff>19050</xdr:colOff>
      <xdr:row>56</xdr:row>
      <xdr:rowOff>9526</xdr:rowOff>
    </xdr:from>
    <xdr:to>
      <xdr:col>1</xdr:col>
      <xdr:colOff>9525</xdr:colOff>
      <xdr:row>57</xdr:row>
      <xdr:rowOff>180976</xdr:rowOff>
    </xdr:to>
    <xdr:sp macro="" textlink="">
      <xdr:nvSpPr>
        <xdr:cNvPr id="4" name="ZoneTexte 3"/>
        <xdr:cNvSpPr txBox="1"/>
      </xdr:nvSpPr>
      <xdr:spPr>
        <a:xfrm>
          <a:off x="19050" y="11010901"/>
          <a:ext cx="15049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latin typeface="Times New Roman" pitchFamily="18" charset="0"/>
              <a:cs typeface="Times New Roman" pitchFamily="18" charset="0"/>
            </a:rPr>
            <a:t>Obstacles</a:t>
          </a:r>
        </a:p>
      </xdr:txBody>
    </xdr:sp>
    <xdr:clientData/>
  </xdr:twoCellAnchor>
  <xdr:twoCellAnchor>
    <xdr:from>
      <xdr:col>1</xdr:col>
      <xdr:colOff>28575</xdr:colOff>
      <xdr:row>56</xdr:row>
      <xdr:rowOff>0</xdr:rowOff>
    </xdr:from>
    <xdr:to>
      <xdr:col>6</xdr:col>
      <xdr:colOff>9525</xdr:colOff>
      <xdr:row>56</xdr:row>
      <xdr:rowOff>180975</xdr:rowOff>
    </xdr:to>
    <xdr:sp macro="" textlink="">
      <xdr:nvSpPr>
        <xdr:cNvPr id="6" name="ZoneTexte 5"/>
        <xdr:cNvSpPr txBox="1"/>
      </xdr:nvSpPr>
      <xdr:spPr>
        <a:xfrm>
          <a:off x="1543050" y="11001375"/>
          <a:ext cx="7839075"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t>Hauteur</a:t>
          </a:r>
          <a:r>
            <a:rPr lang="fr-FR" sz="1100" b="1" baseline="0"/>
            <a:t> (en degré) des points clés</a:t>
          </a:r>
          <a:endParaRPr lang="fr-FR" sz="1100" b="1"/>
        </a:p>
      </xdr:txBody>
    </xdr:sp>
    <xdr:clientData/>
  </xdr:twoCellAnchor>
  <xdr:twoCellAnchor>
    <xdr:from>
      <xdr:col>5</xdr:col>
      <xdr:colOff>1523999</xdr:colOff>
      <xdr:row>56</xdr:row>
      <xdr:rowOff>9525</xdr:rowOff>
    </xdr:from>
    <xdr:to>
      <xdr:col>6</xdr:col>
      <xdr:colOff>1514474</xdr:colOff>
      <xdr:row>57</xdr:row>
      <xdr:rowOff>180975</xdr:rowOff>
    </xdr:to>
    <xdr:sp macro="" textlink="">
      <xdr:nvSpPr>
        <xdr:cNvPr id="8" name="ZoneTexte 7"/>
        <xdr:cNvSpPr txBox="1"/>
      </xdr:nvSpPr>
      <xdr:spPr>
        <a:xfrm>
          <a:off x="9372599" y="11010900"/>
          <a:ext cx="1514475"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latin typeface="Times New Roman" pitchFamily="18" charset="0"/>
              <a:cs typeface="Times New Roman" pitchFamily="18" charset="0"/>
            </a:rPr>
            <a:t>Orientation (°)</a:t>
          </a:r>
        </a:p>
      </xdr:txBody>
    </xdr:sp>
    <xdr:clientData/>
  </xdr:twoCellAnchor>
  <xdr:twoCellAnchor>
    <xdr:from>
      <xdr:col>0</xdr:col>
      <xdr:colOff>28575</xdr:colOff>
      <xdr:row>1</xdr:row>
      <xdr:rowOff>19050</xdr:rowOff>
    </xdr:from>
    <xdr:to>
      <xdr:col>10</xdr:col>
      <xdr:colOff>0</xdr:colOff>
      <xdr:row>1</xdr:row>
      <xdr:rowOff>171450</xdr:rowOff>
    </xdr:to>
    <xdr:sp macro="" textlink="">
      <xdr:nvSpPr>
        <xdr:cNvPr id="13" name="Rectangle 12"/>
        <xdr:cNvSpPr/>
      </xdr:nvSpPr>
      <xdr:spPr>
        <a:xfrm>
          <a:off x="28575" y="381000"/>
          <a:ext cx="13144500" cy="152400"/>
        </a:xfrm>
        <a:prstGeom prst="rect">
          <a:avLst/>
        </a:prstGeom>
        <a:solidFill>
          <a:schemeClr val="accent3"/>
        </a:solidFill>
        <a:ln>
          <a:solidFill>
            <a:schemeClr val="accent3"/>
          </a:solidFill>
        </a:ln>
        <a:effectLst>
          <a:outerShdw blurRad="393700" sx="132000" sy="132000" algn="ctr" rotWithShape="0">
            <a:schemeClr val="tx2">
              <a:lumMod val="60000"/>
              <a:lumOff val="4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1295402</xdr:colOff>
      <xdr:row>75</xdr:row>
      <xdr:rowOff>57150</xdr:rowOff>
    </xdr:from>
    <xdr:to>
      <xdr:col>6</xdr:col>
      <xdr:colOff>1190626</xdr:colOff>
      <xdr:row>77</xdr:row>
      <xdr:rowOff>180976</xdr:rowOff>
    </xdr:to>
    <xdr:pic>
      <xdr:nvPicPr>
        <xdr:cNvPr id="14" name="Image 13">
          <a:hlinkClick xmlns:r="http://schemas.openxmlformats.org/officeDocument/2006/relationships" r:id="rId1" tooltip="Cliquer pour retourner au menu principal"/>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xmlns="" val="0"/>
            </a:ext>
          </a:extLst>
        </a:blip>
        <a:srcRect l="11583" t="31443" r="5791" b="29897"/>
        <a:stretch/>
      </xdr:blipFill>
      <xdr:spPr>
        <a:xfrm>
          <a:off x="9144002" y="14849475"/>
          <a:ext cx="1419224" cy="504826"/>
        </a:xfrm>
        <a:prstGeom prst="rect">
          <a:avLst/>
        </a:prstGeom>
      </xdr:spPr>
    </xdr:pic>
    <xdr:clientData/>
  </xdr:twoCellAnchor>
  <xdr:twoCellAnchor>
    <xdr:from>
      <xdr:col>6</xdr:col>
      <xdr:colOff>38100</xdr:colOff>
      <xdr:row>73</xdr:row>
      <xdr:rowOff>0</xdr:rowOff>
    </xdr:from>
    <xdr:to>
      <xdr:col>6</xdr:col>
      <xdr:colOff>847726</xdr:colOff>
      <xdr:row>75</xdr:row>
      <xdr:rowOff>9525</xdr:rowOff>
    </xdr:to>
    <xdr:sp macro="" textlink="">
      <xdr:nvSpPr>
        <xdr:cNvPr id="15" name="Flèche droite 14">
          <a:hlinkClick xmlns:r="http://schemas.openxmlformats.org/officeDocument/2006/relationships" r:id="rId3" tooltip="cliquer pour aller à la page suivante"/>
        </xdr:cNvPr>
        <xdr:cNvSpPr/>
      </xdr:nvSpPr>
      <xdr:spPr>
        <a:xfrm>
          <a:off x="9410700" y="14411325"/>
          <a:ext cx="809626" cy="390525"/>
        </a:xfrm>
        <a:prstGeom prst="right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fr-FR" sz="1000" b="1">
              <a:solidFill>
                <a:sysClr val="windowText" lastClr="000000"/>
              </a:solidFill>
              <a:latin typeface="Times New Roman" pitchFamily="18" charset="0"/>
              <a:cs typeface="Times New Roman" pitchFamily="18" charset="0"/>
            </a:rPr>
            <a:t>Suivant</a:t>
          </a:r>
        </a:p>
      </xdr:txBody>
    </xdr:sp>
    <xdr:clientData/>
  </xdr:twoCellAnchor>
  <xdr:oneCellAnchor>
    <xdr:from>
      <xdr:col>0</xdr:col>
      <xdr:colOff>202172</xdr:colOff>
      <xdr:row>0</xdr:row>
      <xdr:rowOff>60278</xdr:rowOff>
    </xdr:from>
    <xdr:ext cx="4243854" cy="419217"/>
    <xdr:sp macro="" textlink="">
      <xdr:nvSpPr>
        <xdr:cNvPr id="16" name="Rectangle 15"/>
        <xdr:cNvSpPr/>
      </xdr:nvSpPr>
      <xdr:spPr>
        <a:xfrm>
          <a:off x="202172" y="60278"/>
          <a:ext cx="4243854" cy="419217"/>
        </a:xfrm>
        <a:prstGeom prst="rect">
          <a:avLst/>
        </a:prstGeom>
        <a:noFill/>
      </xdr:spPr>
      <xdr:txBody>
        <a:bodyPr wrap="none" lIns="91440" tIns="45720" rIns="91440" bIns="45720">
          <a:spAutoFit/>
        </a:bodyPr>
        <a:lstStyle/>
        <a:p>
          <a:pPr algn="ctr"/>
          <a:r>
            <a:rPr lang="fr-FR" sz="2000" b="0" cap="none" spc="0">
              <a:ln w="0"/>
              <a:solidFill>
                <a:schemeClr val="tx1"/>
              </a:solidFill>
              <a:effectLst>
                <a:reflection blurRad="6350" stA="53000" endA="300" endPos="35500" dir="5400000" sy="-90000" algn="bl" rotWithShape="0"/>
              </a:effectLst>
              <a:latin typeface="Century Gothic" pitchFamily="34" charset="0"/>
            </a:rPr>
            <a:t>CONSIGNATION DE DONNEES PV</a:t>
          </a:r>
          <a:endParaRPr lang="fr-FR" sz="2000" b="0" cap="none" spc="0">
            <a:ln w="0"/>
            <a:solidFill>
              <a:schemeClr val="tx1"/>
            </a:solidFill>
            <a:effectLst>
              <a:reflection blurRad="6350" stA="53000" endA="300" endPos="35500" dir="5400000" sy="-90000" algn="bl" rotWithShape="0"/>
            </a:effectLst>
          </a:endParaRP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11339</xdr:rowOff>
    </xdr:from>
    <xdr:to>
      <xdr:col>30</xdr:col>
      <xdr:colOff>582965</xdr:colOff>
      <xdr:row>0</xdr:row>
      <xdr:rowOff>442232</xdr:rowOff>
    </xdr:to>
    <xdr:sp macro="" textlink="">
      <xdr:nvSpPr>
        <xdr:cNvPr id="6" name="ZoneTexte 5"/>
        <xdr:cNvSpPr txBox="1"/>
      </xdr:nvSpPr>
      <xdr:spPr>
        <a:xfrm>
          <a:off x="0" y="11339"/>
          <a:ext cx="23374929" cy="430893"/>
        </a:xfrm>
        <a:prstGeom prst="rect">
          <a:avLst/>
        </a:prstGeom>
        <a:solidFill>
          <a:srgbClr val="9BBB59"/>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a typeface="+mn-ea"/>
            <a:cs typeface="+mn-cs"/>
          </a:endParaRPr>
        </a:p>
      </xdr:txBody>
    </xdr:sp>
    <xdr:clientData/>
  </xdr:twoCellAnchor>
  <xdr:twoCellAnchor>
    <xdr:from>
      <xdr:col>0</xdr:col>
      <xdr:colOff>0</xdr:colOff>
      <xdr:row>0</xdr:row>
      <xdr:rowOff>423183</xdr:rowOff>
    </xdr:from>
    <xdr:to>
      <xdr:col>24</xdr:col>
      <xdr:colOff>295274</xdr:colOff>
      <xdr:row>0</xdr:row>
      <xdr:rowOff>623208</xdr:rowOff>
    </xdr:to>
    <xdr:sp macro="" textlink="">
      <xdr:nvSpPr>
        <xdr:cNvPr id="7" name="ZoneTexte 6"/>
        <xdr:cNvSpPr txBox="1"/>
      </xdr:nvSpPr>
      <xdr:spPr>
        <a:xfrm>
          <a:off x="0" y="423183"/>
          <a:ext cx="18528845" cy="20002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200" b="0">
              <a:latin typeface="Segoe UI" panose="020B0502040204020203" pitchFamily="34" charset="0"/>
              <a:ea typeface="Segoe UI" panose="020B0502040204020203" pitchFamily="34" charset="0"/>
              <a:cs typeface="Segoe UI" panose="020B0502040204020203" pitchFamily="34" charset="0"/>
            </a:rPr>
            <a:t>Suivez</a:t>
          </a:r>
          <a:r>
            <a:rPr lang="fr-FR" sz="1200" b="0" baseline="0">
              <a:latin typeface="Segoe UI" panose="020B0502040204020203" pitchFamily="34" charset="0"/>
              <a:ea typeface="Segoe UI" panose="020B0502040204020203" pitchFamily="34" charset="0"/>
              <a:cs typeface="Segoe UI" panose="020B0502040204020203" pitchFamily="34" charset="0"/>
            </a:rPr>
            <a:t> le lien </a:t>
          </a:r>
          <a:r>
            <a:rPr lang="fr-FR" sz="1200" b="0" i="1" baseline="0">
              <a:solidFill>
                <a:schemeClr val="tx2"/>
              </a:solidFill>
              <a:latin typeface="Segoe UI" panose="020B0502040204020203" pitchFamily="34" charset="0"/>
              <a:ea typeface="Segoe UI" panose="020B0502040204020203" pitchFamily="34" charset="0"/>
              <a:cs typeface="Segoe UI" panose="020B0502040204020203" pitchFamily="34" charset="0"/>
            </a:rPr>
            <a:t>http://re.jrc.ec.europa.eu/pvgis/apps4/pvest.php?lang=fr&amp;map=africa. </a:t>
          </a:r>
          <a:r>
            <a:rPr lang="fr-FR" sz="1200" b="0" baseline="0">
              <a:solidFill>
                <a:sysClr val="windowText" lastClr="000000"/>
              </a:solidFill>
              <a:latin typeface="Segoe UI" panose="020B0502040204020203" pitchFamily="34" charset="0"/>
              <a:ea typeface="Segoe UI" panose="020B0502040204020203" pitchFamily="34" charset="0"/>
              <a:cs typeface="Segoe UI" panose="020B0502040204020203" pitchFamily="34" charset="0"/>
            </a:rPr>
            <a:t>Afin d'obtenir les données d'irradiation correspondant aux cordonnées de votre site.</a:t>
          </a:r>
          <a:endParaRPr lang="fr-FR" sz="1200" b="0">
            <a:solidFill>
              <a:sysClr val="windowText" lastClr="000000"/>
            </a:solidFill>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13</xdr:col>
      <xdr:colOff>738414</xdr:colOff>
      <xdr:row>2</xdr:row>
      <xdr:rowOff>19050</xdr:rowOff>
    </xdr:from>
    <xdr:to>
      <xdr:col>19</xdr:col>
      <xdr:colOff>737053</xdr:colOff>
      <xdr:row>15</xdr:row>
      <xdr:rowOff>190500</xdr:rowOff>
    </xdr:to>
    <xdr:graphicFrame macro="">
      <xdr:nvGraphicFramePr>
        <xdr:cNvPr id="14" name="Graphique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532946</xdr:colOff>
      <xdr:row>22</xdr:row>
      <xdr:rowOff>79375</xdr:rowOff>
    </xdr:from>
    <xdr:to>
      <xdr:col>17</xdr:col>
      <xdr:colOff>703034</xdr:colOff>
      <xdr:row>25</xdr:row>
      <xdr:rowOff>22679</xdr:rowOff>
    </xdr:to>
    <xdr:pic>
      <xdr:nvPicPr>
        <xdr:cNvPr id="5" name="Image 4">
          <a:hlinkClick xmlns:r="http://schemas.openxmlformats.org/officeDocument/2006/relationships" r:id="rId2" tooltip="Cliquer pour retourner au menu principal"/>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xmlns="" val="0"/>
            </a:ext>
          </a:extLst>
        </a:blip>
        <a:srcRect l="11583" t="31443" r="5791" b="29897"/>
        <a:stretch/>
      </xdr:blipFill>
      <xdr:spPr>
        <a:xfrm>
          <a:off x="11146517" y="5227411"/>
          <a:ext cx="1689553" cy="566964"/>
        </a:xfrm>
        <a:prstGeom prst="rect">
          <a:avLst/>
        </a:prstGeom>
      </xdr:spPr>
    </xdr:pic>
    <xdr:clientData/>
  </xdr:twoCellAnchor>
  <xdr:twoCellAnchor>
    <xdr:from>
      <xdr:col>16</xdr:col>
      <xdr:colOff>612320</xdr:colOff>
      <xdr:row>20</xdr:row>
      <xdr:rowOff>0</xdr:rowOff>
    </xdr:from>
    <xdr:to>
      <xdr:col>17</xdr:col>
      <xdr:colOff>669017</xdr:colOff>
      <xdr:row>22</xdr:row>
      <xdr:rowOff>72571</xdr:rowOff>
    </xdr:to>
    <xdr:sp macro="" textlink="">
      <xdr:nvSpPr>
        <xdr:cNvPr id="9" name="Flèche droite 8">
          <a:hlinkClick xmlns:r="http://schemas.openxmlformats.org/officeDocument/2006/relationships" r:id="rId4" tooltip="cliquer pour aller à la page suivante"/>
        </xdr:cNvPr>
        <xdr:cNvSpPr/>
      </xdr:nvSpPr>
      <xdr:spPr>
        <a:xfrm>
          <a:off x="11985624" y="4751161"/>
          <a:ext cx="816429" cy="469446"/>
        </a:xfrm>
        <a:prstGeom prst="right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Suivant</a:t>
          </a:r>
        </a:p>
      </xdr:txBody>
    </xdr:sp>
    <xdr:clientData/>
  </xdr:twoCellAnchor>
  <xdr:twoCellAnchor>
    <xdr:from>
      <xdr:col>15</xdr:col>
      <xdr:colOff>476246</xdr:colOff>
      <xdr:row>20</xdr:row>
      <xdr:rowOff>11339</xdr:rowOff>
    </xdr:from>
    <xdr:to>
      <xdr:col>16</xdr:col>
      <xdr:colOff>568774</xdr:colOff>
      <xdr:row>22</xdr:row>
      <xdr:rowOff>79377</xdr:rowOff>
    </xdr:to>
    <xdr:sp macro="" textlink="">
      <xdr:nvSpPr>
        <xdr:cNvPr id="10" name="Flèche vers le bas 9">
          <a:hlinkClick xmlns:r="http://schemas.openxmlformats.org/officeDocument/2006/relationships" r:id="rId5" tooltip="Cliquer pour aller à la page précédente"/>
        </xdr:cNvPr>
        <xdr:cNvSpPr/>
      </xdr:nvSpPr>
      <xdr:spPr>
        <a:xfrm rot="5400000">
          <a:off x="11283491" y="4568826"/>
          <a:ext cx="464913" cy="852261"/>
        </a:xfrm>
        <a:prstGeom prst="downArrow">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Précédent</a:t>
          </a:r>
          <a:endParaRPr kumimoji="0" lang="fr-FR" sz="1000" b="1" i="0" u="none" strike="noStrike" kern="0" cap="none" spc="0" normalizeH="0" baseline="0" noProof="0" smtClean="0">
            <a:ln>
              <a:noFill/>
            </a:ln>
            <a:solidFill>
              <a:sysClr val="window" lastClr="FFFFFF"/>
            </a:solidFill>
            <a:effectLst/>
            <a:uLnTx/>
            <a:uFillTx/>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oneCellAnchor>
    <xdr:from>
      <xdr:col>0</xdr:col>
      <xdr:colOff>0</xdr:colOff>
      <xdr:row>0</xdr:row>
      <xdr:rowOff>0</xdr:rowOff>
    </xdr:from>
    <xdr:ext cx="6962321" cy="459998"/>
    <xdr:sp macro="" textlink="">
      <xdr:nvSpPr>
        <xdr:cNvPr id="2" name="Rectangle 1"/>
        <xdr:cNvSpPr/>
      </xdr:nvSpPr>
      <xdr:spPr>
        <a:xfrm>
          <a:off x="0" y="0"/>
          <a:ext cx="6962321" cy="459998"/>
        </a:xfrm>
        <a:prstGeom prst="rect">
          <a:avLst/>
        </a:prstGeom>
        <a:noFill/>
      </xdr:spPr>
      <xdr:txBody>
        <a:bodyPr wrap="square" lIns="91440" tIns="45720" rIns="91440" bIns="45720">
          <a:spAutoFit/>
        </a:bodyPr>
        <a:lstStyle/>
        <a:p>
          <a:pPr algn="ctr"/>
          <a:r>
            <a:rPr kumimoji="0" lang="fr-FR" sz="2250" b="0" i="0" u="none" strike="noStrike" kern="0" cap="none" spc="0" normalizeH="0" baseline="0" noProof="0">
              <a:ln w="0"/>
              <a:solidFill>
                <a:schemeClr val="tx1"/>
              </a:solidFill>
              <a:effectLst>
                <a:reflection blurRad="6350" stA="53000" endA="300" endPos="35500" dir="5400000" sy="-90000" algn="bl" rotWithShape="0"/>
              </a:effectLst>
              <a:uLnTx/>
              <a:uFillTx/>
              <a:latin typeface="Century Gothic" pitchFamily="34" charset="0"/>
              <a:ea typeface="+mn-ea"/>
              <a:cs typeface="+mn-cs"/>
            </a:rPr>
            <a:t>DIMENSIONNEMENT - DONNEES D'IRRADIATION</a:t>
          </a:r>
          <a:endParaRPr lang="fr-FR" sz="2250" b="0" cap="none" spc="0">
            <a:ln w="0"/>
            <a:solidFill>
              <a:schemeClr val="tx1"/>
            </a:solidFill>
            <a:effectLst>
              <a:reflection blurRad="6350" stA="53000" endA="300" endPos="35500" dir="5400000" sy="-90000" algn="bl" rotWithShape="0"/>
            </a:effectLst>
          </a:endParaRPr>
        </a:p>
      </xdr:txBody>
    </xdr:sp>
    <xdr:clientData/>
  </xdr:oneCellAnchor>
  <xdr:twoCellAnchor>
    <xdr:from>
      <xdr:col>0</xdr:col>
      <xdr:colOff>0</xdr:colOff>
      <xdr:row>1</xdr:row>
      <xdr:rowOff>11339</xdr:rowOff>
    </xdr:from>
    <xdr:to>
      <xdr:col>24</xdr:col>
      <xdr:colOff>317501</xdr:colOff>
      <xdr:row>1</xdr:row>
      <xdr:rowOff>249464</xdr:rowOff>
    </xdr:to>
    <xdr:sp macro="" textlink="">
      <xdr:nvSpPr>
        <xdr:cNvPr id="4" name="ZoneTexte 3"/>
        <xdr:cNvSpPr txBox="1"/>
      </xdr:nvSpPr>
      <xdr:spPr>
        <a:xfrm>
          <a:off x="0" y="635000"/>
          <a:ext cx="17768662" cy="238125"/>
        </a:xfrm>
        <a:prstGeom prst="rect">
          <a:avLst/>
        </a:prstGeom>
        <a:solidFill>
          <a:srgbClr val="FFFF00"/>
        </a:solidFill>
        <a:ln w="9525" cmpd="sng">
          <a:solidFill>
            <a:schemeClr val="tx1">
              <a:lumMod val="50000"/>
              <a:lumOff val="50000"/>
              <a:alpha val="76000"/>
            </a:schemeClr>
          </a:solidFill>
        </a:ln>
        <a:effectLst>
          <a:outerShdw blurRad="50800" dist="50800" dir="5400000" sx="76000" sy="76000" algn="ctr" rotWithShape="0">
            <a:srgbClr val="FFFF66">
              <a:alpha val="11000"/>
            </a:srgbClr>
          </a:outerShdw>
        </a:effectLst>
        <a:scene3d>
          <a:camera prst="orthographicFront"/>
          <a:lightRig rig="threePt" dir="t"/>
        </a:scene3d>
        <a:sp3d>
          <a:bevelB/>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400">
              <a:latin typeface="Segoe UI" panose="020B0502040204020203" pitchFamily="34" charset="0"/>
              <a:ea typeface="Segoe UI" panose="020B0502040204020203" pitchFamily="34" charset="0"/>
              <a:cs typeface="Segoe UI" panose="020B0502040204020203" pitchFamily="34" charset="0"/>
            </a:rPr>
            <a:t>           Remplir soignesement le tableau suivant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333374</xdr:colOff>
      <xdr:row>2</xdr:row>
      <xdr:rowOff>19050</xdr:rowOff>
    </xdr:from>
    <xdr:to>
      <xdr:col>5</xdr:col>
      <xdr:colOff>28575</xdr:colOff>
      <xdr:row>3</xdr:row>
      <xdr:rowOff>0</xdr:rowOff>
    </xdr:to>
    <xdr:sp macro="" textlink="">
      <xdr:nvSpPr>
        <xdr:cNvPr id="21" name="ZoneTexte 20"/>
        <xdr:cNvSpPr txBox="1"/>
      </xdr:nvSpPr>
      <xdr:spPr>
        <a:xfrm>
          <a:off x="3638549" y="590550"/>
          <a:ext cx="1219201" cy="1809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a:t>%</a:t>
          </a:r>
        </a:p>
      </xdr:txBody>
    </xdr:sp>
    <xdr:clientData/>
  </xdr:twoCellAnchor>
  <xdr:twoCellAnchor>
    <xdr:from>
      <xdr:col>3</xdr:col>
      <xdr:colOff>761999</xdr:colOff>
      <xdr:row>2</xdr:row>
      <xdr:rowOff>180974</xdr:rowOff>
    </xdr:from>
    <xdr:to>
      <xdr:col>5</xdr:col>
      <xdr:colOff>9524</xdr:colOff>
      <xdr:row>4</xdr:row>
      <xdr:rowOff>9525</xdr:rowOff>
    </xdr:to>
    <xdr:sp macro="" textlink="">
      <xdr:nvSpPr>
        <xdr:cNvPr id="22" name="ZoneTexte 21"/>
        <xdr:cNvSpPr txBox="1"/>
      </xdr:nvSpPr>
      <xdr:spPr>
        <a:xfrm>
          <a:off x="3047999" y="752474"/>
          <a:ext cx="771525" cy="22860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050">
              <a:latin typeface="Segoe UI" pitchFamily="34" charset="0"/>
              <a:ea typeface="Segoe UI" pitchFamily="34" charset="0"/>
              <a:cs typeface="Segoe UI" pitchFamily="34" charset="0"/>
            </a:rPr>
            <a:t>kWh/j</a:t>
          </a:r>
          <a:endParaRPr lang="fr-FR" sz="1100">
            <a:latin typeface="Segoe UI" pitchFamily="34" charset="0"/>
            <a:ea typeface="Segoe UI" pitchFamily="34" charset="0"/>
            <a:cs typeface="Segoe UI" pitchFamily="34" charset="0"/>
          </a:endParaRPr>
        </a:p>
      </xdr:txBody>
    </xdr:sp>
    <xdr:clientData/>
  </xdr:twoCellAnchor>
  <xdr:twoCellAnchor>
    <xdr:from>
      <xdr:col>4</xdr:col>
      <xdr:colOff>0</xdr:colOff>
      <xdr:row>4</xdr:row>
      <xdr:rowOff>1</xdr:rowOff>
    </xdr:from>
    <xdr:to>
      <xdr:col>5</xdr:col>
      <xdr:colOff>9526</xdr:colOff>
      <xdr:row>4</xdr:row>
      <xdr:rowOff>190501</xdr:rowOff>
    </xdr:to>
    <xdr:sp macro="" textlink="">
      <xdr:nvSpPr>
        <xdr:cNvPr id="23" name="ZoneTexte 22"/>
        <xdr:cNvSpPr txBox="1"/>
      </xdr:nvSpPr>
      <xdr:spPr>
        <a:xfrm>
          <a:off x="3048000" y="971551"/>
          <a:ext cx="771526" cy="1905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050">
              <a:latin typeface="Times New Roman" pitchFamily="18" charset="0"/>
              <a:cs typeface="Times New Roman" pitchFamily="18" charset="0"/>
            </a:rPr>
            <a:t>Wh/j</a:t>
          </a:r>
          <a:endParaRPr lang="fr-FR" sz="1100">
            <a:latin typeface="Times New Roman" pitchFamily="18" charset="0"/>
            <a:cs typeface="Times New Roman" pitchFamily="18" charset="0"/>
          </a:endParaRPr>
        </a:p>
      </xdr:txBody>
    </xdr:sp>
    <xdr:clientData/>
  </xdr:twoCellAnchor>
  <xdr:twoCellAnchor>
    <xdr:from>
      <xdr:col>0</xdr:col>
      <xdr:colOff>0</xdr:colOff>
      <xdr:row>8</xdr:row>
      <xdr:rowOff>9525</xdr:rowOff>
    </xdr:from>
    <xdr:to>
      <xdr:col>29</xdr:col>
      <xdr:colOff>95250</xdr:colOff>
      <xdr:row>9</xdr:row>
      <xdr:rowOff>0</xdr:rowOff>
    </xdr:to>
    <xdr:sp macro="" textlink="">
      <xdr:nvSpPr>
        <xdr:cNvPr id="9" name="ZoneTexte 8"/>
        <xdr:cNvSpPr txBox="1"/>
      </xdr:nvSpPr>
      <xdr:spPr>
        <a:xfrm>
          <a:off x="0" y="1809750"/>
          <a:ext cx="24136350" cy="200025"/>
        </a:xfrm>
        <a:prstGeom prst="rect">
          <a:avLst/>
        </a:prstGeom>
        <a:solidFill>
          <a:srgbClr val="FFFF00"/>
        </a:solidFill>
        <a:ln w="9525" cmpd="sng">
          <a:solidFill>
            <a:sysClr val="window" lastClr="FFFFFF">
              <a:shade val="50000"/>
            </a:sysClr>
          </a:solidFill>
        </a:ln>
        <a:effectLst>
          <a:outerShdw blurRad="63500" sx="102000" sy="102000" algn="ctr" rotWithShape="0">
            <a:schemeClr val="accent1">
              <a:lumMod val="60000"/>
              <a:lumOff val="40000"/>
              <a:alpha val="40000"/>
            </a:schemeClr>
          </a:outerShdw>
        </a:effectLst>
        <a:scene3d>
          <a:camera prst="orthographicFront"/>
          <a:lightRig rig="threePt" dir="t"/>
        </a:scene3d>
        <a:sp3d/>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600" b="1" i="0" u="none" strike="noStrike" kern="0" cap="none" spc="0" normalizeH="0" baseline="0" noProof="0">
              <a:ln>
                <a:noFill/>
              </a:ln>
              <a:solidFill>
                <a:sysClr val="windowText" lastClr="000000"/>
              </a:solidFill>
              <a:effectLst/>
              <a:uLnTx/>
              <a:uFillTx/>
              <a:latin typeface="Segoe UI" pitchFamily="34" charset="0"/>
              <a:ea typeface="Segoe UI" pitchFamily="34" charset="0"/>
              <a:cs typeface="Segoe UI" pitchFamily="34" charset="0"/>
            </a:rPr>
            <a:t>Parc de batterie :</a:t>
          </a:r>
        </a:p>
      </xdr:txBody>
    </xdr:sp>
    <xdr:clientData/>
  </xdr:twoCellAnchor>
  <xdr:twoCellAnchor>
    <xdr:from>
      <xdr:col>0</xdr:col>
      <xdr:colOff>0</xdr:colOff>
      <xdr:row>14</xdr:row>
      <xdr:rowOff>0</xdr:rowOff>
    </xdr:from>
    <xdr:to>
      <xdr:col>29</xdr:col>
      <xdr:colOff>95250</xdr:colOff>
      <xdr:row>14</xdr:row>
      <xdr:rowOff>190500</xdr:rowOff>
    </xdr:to>
    <xdr:sp macro="" textlink="">
      <xdr:nvSpPr>
        <xdr:cNvPr id="10" name="ZoneTexte 9"/>
        <xdr:cNvSpPr txBox="1"/>
      </xdr:nvSpPr>
      <xdr:spPr>
        <a:xfrm>
          <a:off x="0" y="2971800"/>
          <a:ext cx="23926800" cy="190500"/>
        </a:xfrm>
        <a:prstGeom prst="rect">
          <a:avLst/>
        </a:prstGeom>
        <a:solidFill>
          <a:srgbClr val="FFFF00"/>
        </a:solidFill>
        <a:ln w="9525" cmpd="sng">
          <a:solidFill>
            <a:sysClr val="window" lastClr="FFFFFF">
              <a:shade val="50000"/>
            </a:sysClr>
          </a:solidFill>
        </a:ln>
        <a:effectLst>
          <a:outerShdw blurRad="63500" sx="102000" sy="102000" algn="ctr" rotWithShape="0">
            <a:srgbClr val="4F81BD">
              <a:alpha val="40000"/>
            </a:srgbClr>
          </a:outerShdw>
        </a:effectLst>
        <a:scene3d>
          <a:camera prst="orthographicFront"/>
          <a:lightRig rig="balanced" dir="t"/>
        </a:scene3d>
        <a:sp3d prstMaterial="flat">
          <a:bevelT w="165100" prst="coolSlant"/>
        </a:sp3d>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600" b="1" i="0" u="none" strike="noStrike" kern="0" cap="none" spc="0" normalizeH="0" baseline="0" noProof="0">
              <a:ln>
                <a:noFill/>
              </a:ln>
              <a:solidFill>
                <a:sysClr val="windowText" lastClr="000000"/>
              </a:solidFill>
              <a:effectLst/>
              <a:uLnTx/>
              <a:uFillTx/>
              <a:latin typeface="Segoe UI" pitchFamily="34" charset="0"/>
              <a:ea typeface="Segoe UI" pitchFamily="34" charset="0"/>
              <a:cs typeface="Segoe UI" pitchFamily="34" charset="0"/>
            </a:rPr>
            <a:t>Champ PV :</a:t>
          </a:r>
        </a:p>
      </xdr:txBody>
    </xdr:sp>
    <xdr:clientData/>
  </xdr:twoCellAnchor>
  <xdr:oneCellAnchor>
    <xdr:from>
      <xdr:col>0</xdr:col>
      <xdr:colOff>0</xdr:colOff>
      <xdr:row>0</xdr:row>
      <xdr:rowOff>0</xdr:rowOff>
    </xdr:from>
    <xdr:ext cx="590550" cy="409575"/>
    <xdr:sp macro="" textlink="">
      <xdr:nvSpPr>
        <xdr:cNvPr id="5" name="Rectangle 4"/>
        <xdr:cNvSpPr/>
      </xdr:nvSpPr>
      <xdr:spPr>
        <a:xfrm>
          <a:off x="0" y="0"/>
          <a:ext cx="590550" cy="409575"/>
        </a:xfrm>
        <a:prstGeom prst="rect">
          <a:avLst/>
        </a:prstGeom>
        <a:noFill/>
      </xdr:spPr>
      <xdr:txBody>
        <a:bodyPr wrap="none" lIns="91440" tIns="45720" rIns="91440" bIns="4572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endParaRPr lang="fr-FR" sz="54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xdr:from>
      <xdr:col>0</xdr:col>
      <xdr:colOff>9526</xdr:colOff>
      <xdr:row>28</xdr:row>
      <xdr:rowOff>0</xdr:rowOff>
    </xdr:from>
    <xdr:to>
      <xdr:col>29</xdr:col>
      <xdr:colOff>95250</xdr:colOff>
      <xdr:row>29</xdr:row>
      <xdr:rowOff>19050</xdr:rowOff>
    </xdr:to>
    <xdr:sp macro="" textlink="">
      <xdr:nvSpPr>
        <xdr:cNvPr id="42" name="ZoneTexte 41"/>
        <xdr:cNvSpPr txBox="1"/>
      </xdr:nvSpPr>
      <xdr:spPr>
        <a:xfrm>
          <a:off x="9526" y="5876925"/>
          <a:ext cx="24126824" cy="228600"/>
        </a:xfrm>
        <a:prstGeom prst="rect">
          <a:avLst/>
        </a:prstGeom>
        <a:solidFill>
          <a:srgbClr val="FFFF00"/>
        </a:solidFill>
        <a:ln w="9525" cmpd="sng">
          <a:solidFill>
            <a:sysClr val="window" lastClr="FFFFFF">
              <a:shade val="50000"/>
            </a:sysClr>
          </a:solidFill>
        </a:ln>
        <a:effectLst>
          <a:outerShdw blurRad="50800" dist="38100" dir="5400000" sx="96000" sy="96000" algn="t" rotWithShape="0">
            <a:srgbClr val="FFFF00">
              <a:alpha val="40000"/>
            </a:srgbClr>
          </a:outerShdw>
          <a:reflection blurRad="6350" stA="52000" endA="300" endPos="35000" dir="5400000" sy="-100000" algn="bl" rotWithShape="0"/>
        </a:effectLst>
        <a:scene3d>
          <a:camera prst="orthographicFront"/>
          <a:lightRig rig="balanced" dir="t"/>
        </a:scene3d>
        <a:sp3d>
          <a:bevelT w="165100" prst="coolSlant"/>
        </a:sp3d>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400" b="1" i="0" u="none" strike="noStrike" kern="0" cap="none" spc="0" normalizeH="0" baseline="0" noProof="0">
              <a:ln>
                <a:noFill/>
              </a:ln>
              <a:solidFill>
                <a:sysClr val="windowText" lastClr="000000"/>
              </a:solidFill>
              <a:effectLst/>
              <a:uLnTx/>
              <a:uFillTx/>
              <a:latin typeface="Segoe UI" pitchFamily="34" charset="0"/>
              <a:ea typeface="Segoe UI" pitchFamily="34" charset="0"/>
              <a:cs typeface="Segoe UI" pitchFamily="34" charset="0"/>
            </a:rPr>
            <a:t>Resumé du Champ solaire PV :</a:t>
          </a:r>
        </a:p>
      </xdr:txBody>
    </xdr:sp>
    <xdr:clientData/>
  </xdr:twoCellAnchor>
  <xdr:twoCellAnchor>
    <xdr:from>
      <xdr:col>0</xdr:col>
      <xdr:colOff>0</xdr:colOff>
      <xdr:row>0</xdr:row>
      <xdr:rowOff>0</xdr:rowOff>
    </xdr:from>
    <xdr:to>
      <xdr:col>14</xdr:col>
      <xdr:colOff>552450</xdr:colOff>
      <xdr:row>0</xdr:row>
      <xdr:rowOff>361950</xdr:rowOff>
    </xdr:to>
    <xdr:sp macro="" textlink="">
      <xdr:nvSpPr>
        <xdr:cNvPr id="16" name="ZoneTexte 15"/>
        <xdr:cNvSpPr txBox="1"/>
      </xdr:nvSpPr>
      <xdr:spPr>
        <a:xfrm>
          <a:off x="0" y="0"/>
          <a:ext cx="13163550" cy="361950"/>
        </a:xfrm>
        <a:prstGeom prst="rect">
          <a:avLst/>
        </a:prstGeom>
        <a:solidFill>
          <a:srgbClr val="9BBB59"/>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ndParaRPr>
        </a:p>
      </xdr:txBody>
    </xdr:sp>
    <xdr:clientData/>
  </xdr:twoCellAnchor>
  <xdr:twoCellAnchor>
    <xdr:from>
      <xdr:col>0</xdr:col>
      <xdr:colOff>0</xdr:colOff>
      <xdr:row>0</xdr:row>
      <xdr:rowOff>371474</xdr:rowOff>
    </xdr:from>
    <xdr:to>
      <xdr:col>15</xdr:col>
      <xdr:colOff>19050</xdr:colOff>
      <xdr:row>1</xdr:row>
      <xdr:rowOff>200024</xdr:rowOff>
    </xdr:to>
    <xdr:sp macro="" textlink="">
      <xdr:nvSpPr>
        <xdr:cNvPr id="18" name="ZoneTexte 17"/>
        <xdr:cNvSpPr txBox="1"/>
      </xdr:nvSpPr>
      <xdr:spPr>
        <a:xfrm>
          <a:off x="0" y="371474"/>
          <a:ext cx="13392150" cy="200025"/>
        </a:xfrm>
        <a:prstGeom prst="rect">
          <a:avLst/>
        </a:prstGeom>
        <a:solidFill>
          <a:srgbClr val="FFFF00"/>
        </a:solidFill>
        <a:ln w="9525" cmpd="sng">
          <a:solidFill>
            <a:sysClr val="window" lastClr="FFFFFF">
              <a:shade val="50000"/>
            </a:sysClr>
          </a:solidFill>
        </a:ln>
        <a:effectLst>
          <a:glow>
            <a:srgbClr val="4F81BD"/>
          </a:glow>
          <a:reflection endPos="17000" dir="5400000" sy="-100000" algn="bl" rotWithShape="0"/>
        </a:effectLst>
        <a:scene3d>
          <a:camera prst="orthographicFront">
            <a:rot lat="300000" lon="0" rev="0"/>
          </a:camera>
          <a:lightRig rig="threePt" dir="t"/>
        </a:scene3d>
        <a:sp3d prstMaterial="translucentPowder">
          <a:bevelB/>
        </a:sp3d>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600" b="1" i="0" u="none" strike="noStrike" kern="0" cap="none" spc="0" normalizeH="0" baseline="0" noProof="0">
              <a:ln>
                <a:noFill/>
              </a:ln>
              <a:solidFill>
                <a:sysClr val="windowText" lastClr="000000"/>
              </a:solidFill>
              <a:effectLst/>
              <a:uLnTx/>
              <a:uFillTx/>
              <a:latin typeface="Segoe UI" pitchFamily="34" charset="0"/>
              <a:ea typeface="Segoe UI" pitchFamily="34" charset="0"/>
              <a:cs typeface="Segoe UI" pitchFamily="34" charset="0"/>
            </a:rPr>
            <a:t>RESUME DU SYSTEME :</a:t>
          </a:r>
        </a:p>
      </xdr:txBody>
    </xdr:sp>
    <xdr:clientData/>
  </xdr:twoCellAnchor>
  <xdr:oneCellAnchor>
    <xdr:from>
      <xdr:col>0</xdr:col>
      <xdr:colOff>185245</xdr:colOff>
      <xdr:row>0</xdr:row>
      <xdr:rowOff>0</xdr:rowOff>
    </xdr:from>
    <xdr:ext cx="5439759" cy="386516"/>
    <xdr:sp macro="" textlink="">
      <xdr:nvSpPr>
        <xdr:cNvPr id="4" name="Rectangle 3"/>
        <xdr:cNvSpPr/>
      </xdr:nvSpPr>
      <xdr:spPr>
        <a:xfrm>
          <a:off x="185245" y="0"/>
          <a:ext cx="5439759" cy="386516"/>
        </a:xfrm>
        <a:prstGeom prst="rect">
          <a:avLst/>
        </a:prstGeom>
        <a:noFill/>
      </xdr:spPr>
      <xdr:txBody>
        <a:bodyPr wrap="none" lIns="91440" tIns="45720" rIns="91440" bIns="45720">
          <a:spAutoFit/>
        </a:bodyPr>
        <a:lstStyle/>
        <a:p>
          <a:pPr algn="ctr"/>
          <a:r>
            <a:rPr kumimoji="0" lang="fr-FR" sz="1800" b="0" i="0" u="none" strike="noStrike" kern="0" cap="none" spc="0" normalizeH="0" baseline="0" noProof="0">
              <a:ln w="0"/>
              <a:solidFill>
                <a:schemeClr val="tx1"/>
              </a:solidFill>
              <a:effectLst>
                <a:reflection blurRad="6350" stA="53000" endA="300" endPos="35500" dir="5400000" sy="-90000" algn="bl" rotWithShape="0"/>
              </a:effectLst>
              <a:uLnTx/>
              <a:uFillTx/>
              <a:latin typeface="Century Gothic" pitchFamily="34" charset="0"/>
            </a:rPr>
            <a:t>DIMENSIONNEMENT - PRODUCTION ELECTRIQUE</a:t>
          </a:r>
          <a:endParaRPr lang="fr-FR" sz="1800" b="0" cap="none" spc="0">
            <a:ln w="0"/>
            <a:solidFill>
              <a:schemeClr val="tx1"/>
            </a:solidFill>
            <a:effectLst>
              <a:reflection blurRad="6350" stA="53000" endA="300" endPos="35500" dir="5400000" sy="-90000" algn="bl" rotWithShape="0"/>
            </a:effectLst>
          </a:endParaRPr>
        </a:p>
      </xdr:txBody>
    </xdr:sp>
    <xdr:clientData/>
  </xdr:oneCellAnchor>
  <xdr:twoCellAnchor editAs="oneCell">
    <xdr:from>
      <xdr:col>8</xdr:col>
      <xdr:colOff>123825</xdr:colOff>
      <xdr:row>39</xdr:row>
      <xdr:rowOff>9525</xdr:rowOff>
    </xdr:from>
    <xdr:to>
      <xdr:col>10</xdr:col>
      <xdr:colOff>190500</xdr:colOff>
      <xdr:row>41</xdr:row>
      <xdr:rowOff>79947</xdr:rowOff>
    </xdr:to>
    <xdr:pic>
      <xdr:nvPicPr>
        <xdr:cNvPr id="25" name="Image 24">
          <a:hlinkClick xmlns:r="http://schemas.openxmlformats.org/officeDocument/2006/relationships" r:id="rId1" tooltip="Cliquer pour retourner au menu principal"/>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xmlns="" val="0"/>
            </a:ext>
          </a:extLst>
        </a:blip>
        <a:srcRect l="11583" t="31443" r="5791" b="29897"/>
        <a:stretch/>
      </xdr:blipFill>
      <xdr:spPr>
        <a:xfrm>
          <a:off x="8362950" y="8505825"/>
          <a:ext cx="1590675" cy="508572"/>
        </a:xfrm>
        <a:prstGeom prst="rect">
          <a:avLst/>
        </a:prstGeom>
      </xdr:spPr>
    </xdr:pic>
    <xdr:clientData/>
  </xdr:twoCellAnchor>
  <xdr:twoCellAnchor>
    <xdr:from>
      <xdr:col>10</xdr:col>
      <xdr:colOff>323850</xdr:colOff>
      <xdr:row>39</xdr:row>
      <xdr:rowOff>28575</xdr:rowOff>
    </xdr:from>
    <xdr:to>
      <xdr:col>11</xdr:col>
      <xdr:colOff>552450</xdr:colOff>
      <xdr:row>41</xdr:row>
      <xdr:rowOff>28575</xdr:rowOff>
    </xdr:to>
    <xdr:sp macro="" textlink="">
      <xdr:nvSpPr>
        <xdr:cNvPr id="6" name="Rectangle à coins arrondis 5">
          <a:hlinkClick xmlns:r="http://schemas.openxmlformats.org/officeDocument/2006/relationships" r:id="rId3" tooltip="Cliquer pour obtenir le rapport de votre dimensionnement"/>
        </xdr:cNvPr>
        <xdr:cNvSpPr/>
      </xdr:nvSpPr>
      <xdr:spPr>
        <a:xfrm>
          <a:off x="10086975" y="8305800"/>
          <a:ext cx="990600" cy="438150"/>
        </a:xfrm>
        <a:prstGeom prst="roundRect">
          <a:avLst/>
        </a:prstGeom>
        <a:solidFill>
          <a:schemeClr val="accent2"/>
        </a:solidFill>
        <a:scene3d>
          <a:camera prst="orthographicFront"/>
          <a:lightRig rig="threePt" dir="t"/>
        </a:scene3d>
        <a:sp3d>
          <a:bevel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fr-FR" sz="1100" b="1">
              <a:latin typeface="Bradley Hand ITC" panose="03070402050302030203" pitchFamily="66" charset="0"/>
            </a:rPr>
            <a:t>RAPPORT</a:t>
          </a:r>
        </a:p>
      </xdr:txBody>
    </xdr:sp>
    <xdr:clientData/>
  </xdr:twoCellAnchor>
  <xdr:twoCellAnchor>
    <xdr:from>
      <xdr:col>9</xdr:col>
      <xdr:colOff>171450</xdr:colOff>
      <xdr:row>37</xdr:row>
      <xdr:rowOff>57150</xdr:rowOff>
    </xdr:from>
    <xdr:to>
      <xdr:col>10</xdr:col>
      <xdr:colOff>228599</xdr:colOff>
      <xdr:row>38</xdr:row>
      <xdr:rowOff>200025</xdr:rowOff>
    </xdr:to>
    <xdr:sp macro="" textlink="">
      <xdr:nvSpPr>
        <xdr:cNvPr id="15" name="Flèche droite 14">
          <a:hlinkClick xmlns:r="http://schemas.openxmlformats.org/officeDocument/2006/relationships" r:id="rId4" tooltip="cliquer pour aller à la page suivante"/>
        </xdr:cNvPr>
        <xdr:cNvSpPr/>
      </xdr:nvSpPr>
      <xdr:spPr>
        <a:xfrm>
          <a:off x="9172575" y="8115300"/>
          <a:ext cx="819149" cy="361950"/>
        </a:xfrm>
        <a:prstGeom prst="rightArrow">
          <a:avLst/>
        </a:prstGeom>
        <a:gradFill rotWithShape="1">
          <a:gsLst>
            <a:gs pos="0">
              <a:srgbClr val="4BACC6">
                <a:shade val="51000"/>
                <a:satMod val="130000"/>
              </a:srgbClr>
            </a:gs>
            <a:gs pos="80000">
              <a:srgbClr val="4BACC6">
                <a:shade val="93000"/>
                <a:satMod val="130000"/>
              </a:srgbClr>
            </a:gs>
            <a:gs pos="100000">
              <a:srgbClr val="4BACC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Suivant</a:t>
          </a:r>
        </a:p>
      </xdr:txBody>
    </xdr:sp>
    <xdr:clientData/>
  </xdr:twoCellAnchor>
  <xdr:twoCellAnchor>
    <xdr:from>
      <xdr:col>8</xdr:col>
      <xdr:colOff>57149</xdr:colOff>
      <xdr:row>37</xdr:row>
      <xdr:rowOff>57154</xdr:rowOff>
    </xdr:from>
    <xdr:to>
      <xdr:col>9</xdr:col>
      <xdr:colOff>114299</xdr:colOff>
      <xdr:row>38</xdr:row>
      <xdr:rowOff>209553</xdr:rowOff>
    </xdr:to>
    <xdr:sp macro="" textlink="">
      <xdr:nvSpPr>
        <xdr:cNvPr id="19" name="Flèche vers le bas 18">
          <a:hlinkClick xmlns:r="http://schemas.openxmlformats.org/officeDocument/2006/relationships" r:id="rId5" tooltip="Cliquer pour aller à la page précédente"/>
        </xdr:cNvPr>
        <xdr:cNvSpPr/>
      </xdr:nvSpPr>
      <xdr:spPr>
        <a:xfrm rot="5400000">
          <a:off x="8520112" y="7891466"/>
          <a:ext cx="371474" cy="819150"/>
        </a:xfrm>
        <a:prstGeom prst="downArrow">
          <a:avLst/>
        </a:prstGeom>
        <a:gradFill rotWithShape="1">
          <a:gsLst>
            <a:gs pos="0">
              <a:srgbClr val="4BACC6">
                <a:shade val="51000"/>
                <a:satMod val="130000"/>
              </a:srgbClr>
            </a:gs>
            <a:gs pos="80000">
              <a:srgbClr val="4BACC6">
                <a:shade val="93000"/>
                <a:satMod val="130000"/>
              </a:srgbClr>
            </a:gs>
            <a:gs pos="100000">
              <a:srgbClr val="4BACC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Précédent</a:t>
          </a:r>
          <a:endParaRPr kumimoji="0" lang="fr-FR" sz="1000" b="1" i="0" u="none" strike="noStrike" kern="0" cap="none" spc="0" normalizeH="0" baseline="0" noProof="0" smtClean="0">
            <a:ln>
              <a:noFill/>
            </a:ln>
            <a:solidFill>
              <a:sysClr val="window" lastClr="FFFFFF"/>
            </a:solidFill>
            <a:effectLst/>
            <a:uLnTx/>
            <a:uFillTx/>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35</xdr:col>
      <xdr:colOff>694712</xdr:colOff>
      <xdr:row>0</xdr:row>
      <xdr:rowOff>276225</xdr:rowOff>
    </xdr:to>
    <xdr:sp macro="" textlink="">
      <xdr:nvSpPr>
        <xdr:cNvPr id="13" name="ZoneTexte 12"/>
        <xdr:cNvSpPr txBox="1"/>
      </xdr:nvSpPr>
      <xdr:spPr>
        <a:xfrm>
          <a:off x="0" y="0"/>
          <a:ext cx="29755487" cy="276225"/>
        </a:xfrm>
        <a:prstGeom prst="rect">
          <a:avLst/>
        </a:prstGeom>
        <a:solidFill>
          <a:srgbClr val="9BBB59"/>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a typeface="+mn-ea"/>
            <a:cs typeface="+mn-cs"/>
          </a:endParaRPr>
        </a:p>
      </xdr:txBody>
    </xdr:sp>
    <xdr:clientData/>
  </xdr:twoCellAnchor>
  <xdr:twoCellAnchor>
    <xdr:from>
      <xdr:col>0</xdr:col>
      <xdr:colOff>19050</xdr:colOff>
      <xdr:row>0</xdr:row>
      <xdr:rowOff>257176</xdr:rowOff>
    </xdr:from>
    <xdr:to>
      <xdr:col>35</xdr:col>
      <xdr:colOff>666137</xdr:colOff>
      <xdr:row>0</xdr:row>
      <xdr:rowOff>409576</xdr:rowOff>
    </xdr:to>
    <xdr:sp macro="" textlink="">
      <xdr:nvSpPr>
        <xdr:cNvPr id="15" name="Rectangle 14"/>
        <xdr:cNvSpPr/>
      </xdr:nvSpPr>
      <xdr:spPr>
        <a:xfrm>
          <a:off x="19050" y="257176"/>
          <a:ext cx="29707862" cy="152400"/>
        </a:xfrm>
        <a:prstGeom prst="rect">
          <a:avLst/>
        </a:prstGeom>
        <a:solidFill>
          <a:srgbClr val="9BBB59"/>
        </a:solidFill>
        <a:ln w="25400" cap="flat" cmpd="sng" algn="ctr">
          <a:solidFill>
            <a:srgbClr val="9BBB59"/>
          </a:solidFill>
          <a:prstDash val="solid"/>
        </a:ln>
        <a:effectLst>
          <a:outerShdw blurRad="393700" sx="132000" sy="132000" algn="ctr" rotWithShape="0">
            <a:srgbClr val="1F497D">
              <a:lumMod val="60000"/>
              <a:lumOff val="40000"/>
              <a:alpha val="40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oneCellAnchor>
    <xdr:from>
      <xdr:col>0</xdr:col>
      <xdr:colOff>19050</xdr:colOff>
      <xdr:row>0</xdr:row>
      <xdr:rowOff>0</xdr:rowOff>
    </xdr:from>
    <xdr:ext cx="5409879" cy="386516"/>
    <xdr:sp macro="" textlink="">
      <xdr:nvSpPr>
        <xdr:cNvPr id="17" name="Rectangle 16"/>
        <xdr:cNvSpPr/>
      </xdr:nvSpPr>
      <xdr:spPr>
        <a:xfrm>
          <a:off x="19050" y="0"/>
          <a:ext cx="5409879" cy="386516"/>
        </a:xfrm>
        <a:prstGeom prst="rect">
          <a:avLst/>
        </a:prstGeom>
        <a:noFill/>
      </xdr:spPr>
      <xdr:txBody>
        <a:bodyPr wrap="none" lIns="91440" tIns="45720" rIns="91440" bIns="45720">
          <a:spAutoFit/>
        </a:bodyPr>
        <a:lstStyle/>
        <a:p>
          <a:pPr algn="ctr"/>
          <a:r>
            <a:rPr kumimoji="0" lang="fr-FR" sz="1800" b="0" i="0" u="none" strike="noStrike" kern="0" cap="none" spc="0" normalizeH="0" baseline="0" noProof="0">
              <a:ln w="0"/>
              <a:solidFill>
                <a:schemeClr val="tx1"/>
              </a:solidFill>
              <a:effectLst>
                <a:reflection blurRad="6350" stA="53000" endA="300" endPos="35500" dir="5400000" sy="-90000" algn="bl" rotWithShape="0"/>
              </a:effectLst>
              <a:uLnTx/>
              <a:uFillTx/>
              <a:latin typeface="Century Gothic" pitchFamily="34" charset="0"/>
              <a:ea typeface="+mn-ea"/>
              <a:cs typeface="+mn-cs"/>
            </a:rPr>
            <a:t>DIMENSIONNEMENT - CABLAGE ET PROTECTION</a:t>
          </a:r>
          <a:endParaRPr lang="fr-FR" sz="1800" b="0" cap="none" spc="0">
            <a:ln w="0"/>
            <a:solidFill>
              <a:schemeClr val="tx1"/>
            </a:solidFill>
            <a:effectLst>
              <a:reflection blurRad="6350" stA="53000" endA="300" endPos="35500" dir="5400000" sy="-90000" algn="bl" rotWithShape="0"/>
            </a:effectLst>
          </a:endParaRPr>
        </a:p>
      </xdr:txBody>
    </xdr:sp>
    <xdr:clientData/>
  </xdr:oneCellAnchor>
  <xdr:twoCellAnchor>
    <xdr:from>
      <xdr:col>9</xdr:col>
      <xdr:colOff>609601</xdr:colOff>
      <xdr:row>6</xdr:row>
      <xdr:rowOff>47625</xdr:rowOff>
    </xdr:from>
    <xdr:to>
      <xdr:col>11</xdr:col>
      <xdr:colOff>28575</xdr:colOff>
      <xdr:row>9</xdr:row>
      <xdr:rowOff>200025</xdr:rowOff>
    </xdr:to>
    <xdr:sp macro="" textlink="">
      <xdr:nvSpPr>
        <xdr:cNvPr id="21" name="Rectangle 20"/>
        <xdr:cNvSpPr/>
      </xdr:nvSpPr>
      <xdr:spPr>
        <a:xfrm>
          <a:off x="6572251" y="1581150"/>
          <a:ext cx="1219199" cy="8096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10</xdr:col>
      <xdr:colOff>428625</xdr:colOff>
      <xdr:row>41</xdr:row>
      <xdr:rowOff>9525</xdr:rowOff>
    </xdr:from>
    <xdr:to>
      <xdr:col>12</xdr:col>
      <xdr:colOff>0</xdr:colOff>
      <xdr:row>43</xdr:row>
      <xdr:rowOff>79947</xdr:rowOff>
    </xdr:to>
    <xdr:pic>
      <xdr:nvPicPr>
        <xdr:cNvPr id="26" name="Image 25">
          <a:hlinkClick xmlns:r="http://schemas.openxmlformats.org/officeDocument/2006/relationships" r:id="rId1" tooltip="Cliquer pour retourner au menu principal"/>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xmlns="" val="0"/>
            </a:ext>
          </a:extLst>
        </a:blip>
        <a:srcRect l="11583" t="31443" r="5791" b="29897"/>
        <a:stretch/>
      </xdr:blipFill>
      <xdr:spPr>
        <a:xfrm>
          <a:off x="8191500" y="6610350"/>
          <a:ext cx="1133475" cy="508572"/>
        </a:xfrm>
        <a:prstGeom prst="rect">
          <a:avLst/>
        </a:prstGeom>
      </xdr:spPr>
    </xdr:pic>
    <xdr:clientData/>
  </xdr:twoCellAnchor>
  <xdr:twoCellAnchor>
    <xdr:from>
      <xdr:col>10</xdr:col>
      <xdr:colOff>514350</xdr:colOff>
      <xdr:row>39</xdr:row>
      <xdr:rowOff>38104</xdr:rowOff>
    </xdr:from>
    <xdr:to>
      <xdr:col>11</xdr:col>
      <xdr:colOff>704850</xdr:colOff>
      <xdr:row>41</xdr:row>
      <xdr:rowOff>9529</xdr:rowOff>
    </xdr:to>
    <xdr:sp macro="" textlink="">
      <xdr:nvSpPr>
        <xdr:cNvPr id="27" name="Flèche vers le bas 26">
          <a:hlinkClick xmlns:r="http://schemas.openxmlformats.org/officeDocument/2006/relationships" r:id="rId3" tooltip="Cliquer pour aller à la page précédente"/>
        </xdr:cNvPr>
        <xdr:cNvSpPr/>
      </xdr:nvSpPr>
      <xdr:spPr>
        <a:xfrm rot="5400000">
          <a:off x="8548687" y="5929317"/>
          <a:ext cx="409575" cy="952500"/>
        </a:xfrm>
        <a:prstGeom prst="downArrow">
          <a:avLst/>
        </a:prstGeom>
        <a:gradFill rotWithShape="1">
          <a:gsLst>
            <a:gs pos="0">
              <a:srgbClr val="4BACC6">
                <a:shade val="51000"/>
                <a:satMod val="130000"/>
              </a:srgbClr>
            </a:gs>
            <a:gs pos="80000">
              <a:srgbClr val="4BACC6">
                <a:shade val="93000"/>
                <a:satMod val="130000"/>
              </a:srgbClr>
            </a:gs>
            <a:gs pos="100000">
              <a:srgbClr val="4BACC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000" b="1"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Précédent</a:t>
          </a:r>
          <a:endParaRPr kumimoji="0" lang="fr-FR" sz="1000" b="1" i="0" u="none" strike="noStrike" kern="0" cap="none" spc="0" normalizeH="0" baseline="0" noProof="0" smtClean="0">
            <a:ln>
              <a:noFill/>
            </a:ln>
            <a:solidFill>
              <a:sysClr val="window" lastClr="FFFFFF"/>
            </a:solidFill>
            <a:effectLst/>
            <a:uLnTx/>
            <a:uFillTx/>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10</xdr:col>
      <xdr:colOff>47625</xdr:colOff>
      <xdr:row>26</xdr:row>
      <xdr:rowOff>190500</xdr:rowOff>
    </xdr:from>
    <xdr:to>
      <xdr:col>11</xdr:col>
      <xdr:colOff>76200</xdr:colOff>
      <xdr:row>26</xdr:row>
      <xdr:rowOff>352425</xdr:rowOff>
    </xdr:to>
    <xdr:sp macro="" textlink="">
      <xdr:nvSpPr>
        <xdr:cNvPr id="28" name="Rectangle 27"/>
        <xdr:cNvSpPr/>
      </xdr:nvSpPr>
      <xdr:spPr>
        <a:xfrm>
          <a:off x="8029575" y="6257925"/>
          <a:ext cx="790575" cy="161925"/>
        </a:xfrm>
        <a:prstGeom prst="rect">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9526</xdr:colOff>
      <xdr:row>20</xdr:row>
      <xdr:rowOff>66675</xdr:rowOff>
    </xdr:from>
    <xdr:to>
      <xdr:col>4</xdr:col>
      <xdr:colOff>257176</xdr:colOff>
      <xdr:row>21</xdr:row>
      <xdr:rowOff>180975</xdr:rowOff>
    </xdr:to>
    <xdr:sp macro="" textlink="">
      <xdr:nvSpPr>
        <xdr:cNvPr id="29" name="Rectangle 28"/>
        <xdr:cNvSpPr/>
      </xdr:nvSpPr>
      <xdr:spPr>
        <a:xfrm>
          <a:off x="2619376" y="4800600"/>
          <a:ext cx="1009650" cy="333375"/>
        </a:xfrm>
        <a:prstGeom prst="rect">
          <a:avLst/>
        </a:prstGeom>
        <a:solidFill>
          <a:schemeClr val="tx2">
            <a:lumMod val="20000"/>
            <a:lumOff val="80000"/>
          </a:schemeClr>
        </a:solidFill>
        <a:ln w="25400" cap="flat" cmpd="sng" algn="ctr">
          <a:solidFill>
            <a:schemeClr val="tx2">
              <a:lumMod val="20000"/>
              <a:lumOff val="80000"/>
            </a:scheme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2</xdr:col>
      <xdr:colOff>742950</xdr:colOff>
      <xdr:row>12</xdr:row>
      <xdr:rowOff>66675</xdr:rowOff>
    </xdr:from>
    <xdr:to>
      <xdr:col>4</xdr:col>
      <xdr:colOff>85725</xdr:colOff>
      <xdr:row>13</xdr:row>
      <xdr:rowOff>180975</xdr:rowOff>
    </xdr:to>
    <xdr:sp macro="" textlink="">
      <xdr:nvSpPr>
        <xdr:cNvPr id="30" name="Rectangle 29"/>
        <xdr:cNvSpPr/>
      </xdr:nvSpPr>
      <xdr:spPr>
        <a:xfrm>
          <a:off x="2590800" y="2905125"/>
          <a:ext cx="866775" cy="333375"/>
        </a:xfrm>
        <a:prstGeom prst="rect">
          <a:avLst/>
        </a:prstGeom>
        <a:solidFill>
          <a:schemeClr val="tx2">
            <a:lumMod val="20000"/>
            <a:lumOff val="80000"/>
          </a:schemeClr>
        </a:solidFill>
        <a:ln w="25400" cap="flat" cmpd="sng" algn="ctr">
          <a:solidFill>
            <a:schemeClr val="tx2">
              <a:lumMod val="20000"/>
              <a:lumOff val="80000"/>
            </a:scheme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10</xdr:col>
      <xdr:colOff>47625</xdr:colOff>
      <xdr:row>17</xdr:row>
      <xdr:rowOff>209550</xdr:rowOff>
    </xdr:from>
    <xdr:to>
      <xdr:col>11</xdr:col>
      <xdr:colOff>133351</xdr:colOff>
      <xdr:row>17</xdr:row>
      <xdr:rowOff>333374</xdr:rowOff>
    </xdr:to>
    <xdr:sp macro="" textlink="">
      <xdr:nvSpPr>
        <xdr:cNvPr id="31" name="Rectangle 30"/>
        <xdr:cNvSpPr/>
      </xdr:nvSpPr>
      <xdr:spPr>
        <a:xfrm>
          <a:off x="8029575" y="4124325"/>
          <a:ext cx="847726" cy="123824"/>
        </a:xfrm>
        <a:prstGeom prst="rect">
          <a:avLst/>
        </a:prstGeom>
        <a:solidFill>
          <a:srgbClr val="EEECE1"/>
        </a:solidFill>
        <a:ln w="25400" cap="flat" cmpd="sng" algn="ctr">
          <a:solidFill>
            <a:srgbClr val="EEECE1"/>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smtClean="0">
            <a:ln>
              <a:noFill/>
            </a:ln>
            <a:solidFill>
              <a:sysClr val="window" lastClr="FFFFFF"/>
            </a:solidFill>
            <a:effectLst/>
            <a:uLnTx/>
            <a:uFillTx/>
            <a:latin typeface="Calibri"/>
            <a:ea typeface="+mn-ea"/>
            <a:cs typeface="+mn-cs"/>
          </a:endParaRPr>
        </a:p>
      </xdr:txBody>
    </xdr:sp>
    <xdr:clientData/>
  </xdr:twoCellAnchor>
  <xdr:twoCellAnchor>
    <xdr:from>
      <xdr:col>5</xdr:col>
      <xdr:colOff>0</xdr:colOff>
      <xdr:row>35</xdr:row>
      <xdr:rowOff>0</xdr:rowOff>
    </xdr:from>
    <xdr:to>
      <xdr:col>5</xdr:col>
      <xdr:colOff>447675</xdr:colOff>
      <xdr:row>35</xdr:row>
      <xdr:rowOff>152400</xdr:rowOff>
    </xdr:to>
    <xdr:sp macro="" textlink="">
      <xdr:nvSpPr>
        <xdr:cNvPr id="14" name="Rectangle 13"/>
        <xdr:cNvSpPr/>
      </xdr:nvSpPr>
      <xdr:spPr>
        <a:xfrm>
          <a:off x="4133850" y="8229600"/>
          <a:ext cx="447675" cy="152400"/>
        </a:xfrm>
        <a:prstGeom prst="rect">
          <a:avLst/>
        </a:prstGeom>
        <a:solidFill>
          <a:schemeClr val="bg2"/>
        </a:solidFill>
        <a:ln w="25400" cap="flat" cmpd="sng" algn="ctr">
          <a:solidFill>
            <a:schemeClr val="bg2"/>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20</xdr:col>
      <xdr:colOff>0</xdr:colOff>
      <xdr:row>5</xdr:row>
      <xdr:rowOff>0</xdr:rowOff>
    </xdr:from>
    <xdr:to>
      <xdr:col>24</xdr:col>
      <xdr:colOff>0</xdr:colOff>
      <xdr:row>30</xdr:row>
      <xdr:rowOff>200025</xdr:rowOff>
    </xdr:to>
    <xdr:sp macro="" textlink="">
      <xdr:nvSpPr>
        <xdr:cNvPr id="2" name="Rectangle 1"/>
        <xdr:cNvSpPr/>
      </xdr:nvSpPr>
      <xdr:spPr>
        <a:xfrm>
          <a:off x="15601950" y="1333500"/>
          <a:ext cx="5695950" cy="600075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285750</xdr:colOff>
      <xdr:row>32</xdr:row>
      <xdr:rowOff>14286</xdr:rowOff>
    </xdr:from>
    <xdr:to>
      <xdr:col>12</xdr:col>
      <xdr:colOff>485775</xdr:colOff>
      <xdr:row>46</xdr:row>
      <xdr:rowOff>19049</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1</xdr:rowOff>
    </xdr:from>
    <xdr:to>
      <xdr:col>18</xdr:col>
      <xdr:colOff>209550</xdr:colOff>
      <xdr:row>0</xdr:row>
      <xdr:rowOff>428625</xdr:rowOff>
    </xdr:to>
    <xdr:sp macro="" textlink="">
      <xdr:nvSpPr>
        <xdr:cNvPr id="4" name="ZoneTexte 3"/>
        <xdr:cNvSpPr txBox="1"/>
      </xdr:nvSpPr>
      <xdr:spPr>
        <a:xfrm>
          <a:off x="0" y="1"/>
          <a:ext cx="13163550" cy="428624"/>
        </a:xfrm>
        <a:prstGeom prst="rect">
          <a:avLst/>
        </a:prstGeom>
        <a:solidFill>
          <a:srgbClr val="9BBB59"/>
        </a:solidFill>
        <a:ln w="9525" cmpd="sng">
          <a:solidFill>
            <a:sysClr val="window" lastClr="FFFFFF">
              <a:shade val="50000"/>
            </a:sysClr>
          </a:solid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FR" sz="1600" b="1" i="0" u="none" strike="noStrike" kern="0" cap="none" spc="0" normalizeH="0" baseline="0" noProof="0">
            <a:ln>
              <a:noFill/>
            </a:ln>
            <a:solidFill>
              <a:sysClr val="windowText" lastClr="000000"/>
            </a:solidFill>
            <a:effectLst/>
            <a:uLnTx/>
            <a:uFillTx/>
            <a:latin typeface="Century Gothic" pitchFamily="34" charset="0"/>
          </a:endParaRPr>
        </a:p>
      </xdr:txBody>
    </xdr:sp>
    <xdr:clientData/>
  </xdr:twoCellAnchor>
  <xdr:oneCellAnchor>
    <xdr:from>
      <xdr:col>0</xdr:col>
      <xdr:colOff>147720</xdr:colOff>
      <xdr:row>0</xdr:row>
      <xdr:rowOff>45959</xdr:rowOff>
    </xdr:from>
    <xdr:ext cx="6391109" cy="387222"/>
    <xdr:sp macro="" textlink="">
      <xdr:nvSpPr>
        <xdr:cNvPr id="8" name="Rectangle 7"/>
        <xdr:cNvSpPr/>
      </xdr:nvSpPr>
      <xdr:spPr>
        <a:xfrm>
          <a:off x="147720" y="45959"/>
          <a:ext cx="6391109" cy="387222"/>
        </a:xfrm>
        <a:prstGeom prst="rect">
          <a:avLst/>
        </a:prstGeom>
        <a:noFill/>
      </xdr:spPr>
      <xdr:txBody>
        <a:bodyPr wrap="non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kumimoji="0" lang="fr-FR" sz="2000" b="1" i="0" u="none" strike="noStrike" kern="0" cap="all" spc="0" normalizeH="0" baseline="0" noProof="0">
              <a:ln w="0"/>
              <a:solidFill>
                <a:sysClr val="windowText" lastClr="000000"/>
              </a:solidFill>
              <a:effectLst>
                <a:reflection blurRad="12700" stA="50000" endPos="50000" dist="5000" dir="5400000" sy="-100000" rotWithShape="0"/>
              </a:effectLst>
              <a:uLnTx/>
              <a:uFillTx/>
              <a:latin typeface="Times New Roman" panose="02020603050405020304" pitchFamily="18" charset="0"/>
              <a:cs typeface="Times New Roman" panose="02020603050405020304" pitchFamily="18" charset="0"/>
            </a:rPr>
            <a:t>DIMENSIONNEMENT - ESTIMATION FINANCIERE</a:t>
          </a:r>
          <a:endParaRPr lang="fr-FR" sz="2000" b="1" cap="all" spc="0">
            <a:ln w="0"/>
            <a:solidFill>
              <a:sysClr val="windowText" lastClr="000000"/>
            </a:solidFill>
            <a:effectLst>
              <a:reflection blurRad="12700" stA="50000" endPos="50000" dist="5000" dir="5400000" sy="-100000" rotWithShape="0"/>
            </a:effectLst>
            <a:latin typeface="Times New Roman" panose="02020603050405020304" pitchFamily="18" charset="0"/>
            <a:cs typeface="Times New Roman" panose="02020603050405020304" pitchFamily="18" charset="0"/>
          </a:endParaRPr>
        </a:p>
      </xdr:txBody>
    </xdr:sp>
    <xdr:clientData/>
  </xdr:oneCellAnchor>
  <xdr:twoCellAnchor>
    <xdr:from>
      <xdr:col>0</xdr:col>
      <xdr:colOff>9525</xdr:colOff>
      <xdr:row>0</xdr:row>
      <xdr:rowOff>428625</xdr:rowOff>
    </xdr:from>
    <xdr:to>
      <xdr:col>0</xdr:col>
      <xdr:colOff>2219325</xdr:colOff>
      <xdr:row>1</xdr:row>
      <xdr:rowOff>0</xdr:rowOff>
    </xdr:to>
    <xdr:sp macro="" textlink="">
      <xdr:nvSpPr>
        <xdr:cNvPr id="9" name="ZoneTexte 8"/>
        <xdr:cNvSpPr txBox="1"/>
      </xdr:nvSpPr>
      <xdr:spPr>
        <a:xfrm>
          <a:off x="9525" y="428625"/>
          <a:ext cx="2209800" cy="257175"/>
        </a:xfrm>
        <a:prstGeom prst="rect">
          <a:avLst/>
        </a:prstGeom>
        <a:solidFill>
          <a:srgbClr val="FFFF00"/>
        </a:solidFill>
        <a:ln w="9525" cmpd="sng">
          <a:solidFill>
            <a:schemeClr val="lt1">
              <a:shade val="50000"/>
            </a:schemeClr>
          </a:solidFill>
        </a:ln>
        <a:scene3d>
          <a:camera prst="orthographicFront"/>
          <a:lightRig rig="fla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0">
              <a:latin typeface="Segoe UI" panose="020B0502040204020203" pitchFamily="34" charset="0"/>
              <a:ea typeface="Segoe UI" panose="020B0502040204020203" pitchFamily="34" charset="0"/>
              <a:cs typeface="Segoe UI" panose="020B0502040204020203" pitchFamily="34" charset="0"/>
            </a:rPr>
            <a:t>Désignation</a:t>
          </a:r>
        </a:p>
      </xdr:txBody>
    </xdr:sp>
    <xdr:clientData/>
  </xdr:twoCellAnchor>
  <xdr:twoCellAnchor>
    <xdr:from>
      <xdr:col>2</xdr:col>
      <xdr:colOff>0</xdr:colOff>
      <xdr:row>0</xdr:row>
      <xdr:rowOff>428625</xdr:rowOff>
    </xdr:from>
    <xdr:to>
      <xdr:col>3</xdr:col>
      <xdr:colOff>0</xdr:colOff>
      <xdr:row>1</xdr:row>
      <xdr:rowOff>0</xdr:rowOff>
    </xdr:to>
    <xdr:sp macro="" textlink="">
      <xdr:nvSpPr>
        <xdr:cNvPr id="12" name="ZoneTexte 11"/>
        <xdr:cNvSpPr txBox="1"/>
      </xdr:nvSpPr>
      <xdr:spPr>
        <a:xfrm>
          <a:off x="2228850" y="428625"/>
          <a:ext cx="1038225" cy="257175"/>
        </a:xfrm>
        <a:prstGeom prst="rect">
          <a:avLst/>
        </a:prstGeom>
        <a:solidFill>
          <a:srgbClr val="FFFF00"/>
        </a:solidFill>
        <a:ln w="9525" cmpd="sng">
          <a:solidFill>
            <a:schemeClr val="lt1">
              <a:shade val="50000"/>
            </a:schemeClr>
          </a:solidFill>
        </a:ln>
        <a:scene3d>
          <a:camera prst="orthographicFront"/>
          <a:lightRig rig="fla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0">
              <a:latin typeface="Segoe UI" panose="020B0502040204020203" pitchFamily="34" charset="0"/>
              <a:ea typeface="Segoe UI" panose="020B0502040204020203" pitchFamily="34" charset="0"/>
              <a:cs typeface="Segoe UI" panose="020B0502040204020203" pitchFamily="34" charset="0"/>
            </a:rPr>
            <a:t>Quantité</a:t>
          </a:r>
        </a:p>
      </xdr:txBody>
    </xdr:sp>
    <xdr:clientData/>
  </xdr:twoCellAnchor>
  <xdr:twoCellAnchor>
    <xdr:from>
      <xdr:col>3</xdr:col>
      <xdr:colOff>9525</xdr:colOff>
      <xdr:row>0</xdr:row>
      <xdr:rowOff>428625</xdr:rowOff>
    </xdr:from>
    <xdr:to>
      <xdr:col>3</xdr:col>
      <xdr:colOff>1695450</xdr:colOff>
      <xdr:row>1</xdr:row>
      <xdr:rowOff>0</xdr:rowOff>
    </xdr:to>
    <xdr:sp macro="" textlink="">
      <xdr:nvSpPr>
        <xdr:cNvPr id="13" name="ZoneTexte 12"/>
        <xdr:cNvSpPr txBox="1"/>
      </xdr:nvSpPr>
      <xdr:spPr>
        <a:xfrm>
          <a:off x="3276600" y="428625"/>
          <a:ext cx="1685925" cy="257175"/>
        </a:xfrm>
        <a:prstGeom prst="rect">
          <a:avLst/>
        </a:prstGeom>
        <a:solidFill>
          <a:srgbClr val="FFFF00"/>
        </a:solidFill>
        <a:ln w="9525" cmpd="sng">
          <a:solidFill>
            <a:schemeClr val="lt1">
              <a:shade val="50000"/>
            </a:schemeClr>
          </a:solidFill>
        </a:ln>
        <a:scene3d>
          <a:camera prst="orthographicFront"/>
          <a:lightRig rig="fla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0">
              <a:latin typeface="Segoe UI" panose="020B0502040204020203" pitchFamily="34" charset="0"/>
              <a:ea typeface="Segoe UI" panose="020B0502040204020203" pitchFamily="34" charset="0"/>
              <a:cs typeface="Segoe UI" panose="020B0502040204020203" pitchFamily="34" charset="0"/>
            </a:rPr>
            <a:t>Prix</a:t>
          </a:r>
          <a:r>
            <a:rPr lang="fr-FR" sz="1400" b="0" baseline="0">
              <a:latin typeface="Segoe UI" panose="020B0502040204020203" pitchFamily="34" charset="0"/>
              <a:ea typeface="Segoe UI" panose="020B0502040204020203" pitchFamily="34" charset="0"/>
              <a:cs typeface="Segoe UI" panose="020B0502040204020203" pitchFamily="34" charset="0"/>
            </a:rPr>
            <a:t> unitaire en =&gt;</a:t>
          </a:r>
          <a:endParaRPr lang="fr-FR" sz="1400" b="0">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5</xdr:col>
      <xdr:colOff>1</xdr:colOff>
      <xdr:row>0</xdr:row>
      <xdr:rowOff>428625</xdr:rowOff>
    </xdr:from>
    <xdr:to>
      <xdr:col>5</xdr:col>
      <xdr:colOff>1495425</xdr:colOff>
      <xdr:row>1</xdr:row>
      <xdr:rowOff>0</xdr:rowOff>
    </xdr:to>
    <xdr:sp macro="" textlink="">
      <xdr:nvSpPr>
        <xdr:cNvPr id="25" name="ZoneTexte 24"/>
        <xdr:cNvSpPr txBox="1"/>
      </xdr:nvSpPr>
      <xdr:spPr>
        <a:xfrm>
          <a:off x="5086351" y="428625"/>
          <a:ext cx="1495424" cy="257175"/>
        </a:xfrm>
        <a:prstGeom prst="rect">
          <a:avLst/>
        </a:prstGeom>
        <a:solidFill>
          <a:srgbClr val="FFFF00"/>
        </a:solidFill>
        <a:ln w="9525" cmpd="sng">
          <a:solidFill>
            <a:sysClr val="window" lastClr="FFFFFF">
              <a:shade val="50000"/>
            </a:sysClr>
          </a:solidFill>
        </a:ln>
        <a:effectLst/>
        <a:scene3d>
          <a:camera prst="orthographicFront"/>
          <a:lightRig rig="flat" dir="t"/>
        </a:scene3d>
        <a:sp3d prstMaterial="matte"/>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400" b="0" i="0" u="none" strike="noStrike" kern="0" cap="none" spc="0" normalizeH="0" baseline="0" noProof="0" smtClean="0">
              <a:ln>
                <a:noFill/>
              </a:ln>
              <a:solidFill>
                <a:sysClr val="windowText" lastClr="000000"/>
              </a:solidFill>
              <a:effectLst/>
              <a:uLnTx/>
              <a:uFillTx/>
              <a:latin typeface="Segoe UI" panose="020B0502040204020203" pitchFamily="34" charset="0"/>
              <a:ea typeface="Segoe UI" panose="020B0502040204020203" pitchFamily="34" charset="0"/>
              <a:cs typeface="Segoe UI" panose="020B0502040204020203" pitchFamily="34" charset="0"/>
            </a:rPr>
            <a:t>Taux de change </a:t>
          </a:r>
        </a:p>
      </xdr:txBody>
    </xdr:sp>
    <xdr:clientData/>
  </xdr:twoCellAnchor>
  <xdr:twoCellAnchor>
    <xdr:from>
      <xdr:col>7</xdr:col>
      <xdr:colOff>1</xdr:colOff>
      <xdr:row>0</xdr:row>
      <xdr:rowOff>428625</xdr:rowOff>
    </xdr:from>
    <xdr:to>
      <xdr:col>8</xdr:col>
      <xdr:colOff>1</xdr:colOff>
      <xdr:row>0</xdr:row>
      <xdr:rowOff>676275</xdr:rowOff>
    </xdr:to>
    <xdr:sp macro="" textlink="">
      <xdr:nvSpPr>
        <xdr:cNvPr id="27" name="ZoneTexte 26"/>
        <xdr:cNvSpPr txBox="1"/>
      </xdr:nvSpPr>
      <xdr:spPr>
        <a:xfrm>
          <a:off x="8086726" y="428625"/>
          <a:ext cx="1333500" cy="247650"/>
        </a:xfrm>
        <a:prstGeom prst="rect">
          <a:avLst/>
        </a:prstGeom>
        <a:solidFill>
          <a:srgbClr val="FFFF00"/>
        </a:solidFill>
        <a:ln w="9525" cmpd="sng">
          <a:solidFill>
            <a:schemeClr val="lt1">
              <a:shade val="50000"/>
            </a:schemeClr>
          </a:solidFill>
        </a:ln>
        <a:scene3d>
          <a:camera prst="orthographicFront"/>
          <a:lightRig rig="flat" dir="t"/>
        </a:scene3d>
        <a:sp3d prstMaterial="powder"/>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0">
              <a:latin typeface="Segoe UI" panose="020B0502040204020203" pitchFamily="34" charset="0"/>
              <a:ea typeface="Segoe UI" panose="020B0502040204020203" pitchFamily="34" charset="0"/>
              <a:cs typeface="Segoe UI" panose="020B0502040204020203" pitchFamily="34" charset="0"/>
            </a:rPr>
            <a:t>Prix Total</a:t>
          </a:r>
          <a:r>
            <a:rPr lang="fr-FR" sz="1400" b="0" baseline="0">
              <a:latin typeface="Segoe UI" panose="020B0502040204020203" pitchFamily="34" charset="0"/>
              <a:ea typeface="Segoe UI" panose="020B0502040204020203" pitchFamily="34" charset="0"/>
              <a:cs typeface="Segoe UI" panose="020B0502040204020203" pitchFamily="34" charset="0"/>
            </a:rPr>
            <a:t> FCFA</a:t>
          </a:r>
          <a:endParaRPr lang="fr-FR" sz="1400" b="0">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8</xdr:col>
      <xdr:colOff>19050</xdr:colOff>
      <xdr:row>0</xdr:row>
      <xdr:rowOff>428625</xdr:rowOff>
    </xdr:from>
    <xdr:to>
      <xdr:col>18</xdr:col>
      <xdr:colOff>219074</xdr:colOff>
      <xdr:row>1</xdr:row>
      <xdr:rowOff>0</xdr:rowOff>
    </xdr:to>
    <xdr:sp macro="" textlink="">
      <xdr:nvSpPr>
        <xdr:cNvPr id="28" name="ZoneTexte 27"/>
        <xdr:cNvSpPr txBox="1"/>
      </xdr:nvSpPr>
      <xdr:spPr>
        <a:xfrm>
          <a:off x="9639300" y="428625"/>
          <a:ext cx="7820024" cy="257175"/>
        </a:xfrm>
        <a:prstGeom prst="rect">
          <a:avLst/>
        </a:prstGeom>
        <a:solidFill>
          <a:srgbClr val="FFFF00"/>
        </a:solidFill>
        <a:ln w="9525" cmpd="sng">
          <a:noFill/>
        </a:ln>
        <a:scene3d>
          <a:camera prst="orthographicFront"/>
          <a:lightRig rig="fla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twoCellAnchor>
    <xdr:from>
      <xdr:col>1</xdr:col>
      <xdr:colOff>1</xdr:colOff>
      <xdr:row>0</xdr:row>
      <xdr:rowOff>428625</xdr:rowOff>
    </xdr:from>
    <xdr:to>
      <xdr:col>1</xdr:col>
      <xdr:colOff>704850</xdr:colOff>
      <xdr:row>1</xdr:row>
      <xdr:rowOff>0</xdr:rowOff>
    </xdr:to>
    <xdr:sp macro="" textlink="">
      <xdr:nvSpPr>
        <xdr:cNvPr id="30" name="ZoneTexte 29"/>
        <xdr:cNvSpPr txBox="1"/>
      </xdr:nvSpPr>
      <xdr:spPr>
        <a:xfrm>
          <a:off x="2228851" y="428625"/>
          <a:ext cx="704849" cy="257175"/>
        </a:xfrm>
        <a:prstGeom prst="rect">
          <a:avLst/>
        </a:prstGeom>
        <a:solidFill>
          <a:srgbClr val="FFFF00"/>
        </a:solidFill>
        <a:ln w="9525" cmpd="sng">
          <a:solidFill>
            <a:schemeClr val="lt1">
              <a:shade val="50000"/>
            </a:schemeClr>
          </a:solidFill>
        </a:ln>
        <a:scene3d>
          <a:camera prst="orthographicFront"/>
          <a:lightRig rig="fla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0">
              <a:latin typeface="Segoe UI" panose="020B0502040204020203" pitchFamily="34" charset="0"/>
              <a:ea typeface="Segoe UI" panose="020B0502040204020203" pitchFamily="34" charset="0"/>
              <a:cs typeface="Segoe UI" panose="020B0502040204020203" pitchFamily="34" charset="0"/>
            </a:rPr>
            <a:t>Unité</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209550</xdr:colOff>
      <xdr:row>0</xdr:row>
      <xdr:rowOff>428624</xdr:rowOff>
    </xdr:to>
    <xdr:sp macro="" textlink="">
      <xdr:nvSpPr>
        <xdr:cNvPr id="3" name="ZoneTexte 2"/>
        <xdr:cNvSpPr txBox="1"/>
      </xdr:nvSpPr>
      <xdr:spPr>
        <a:xfrm>
          <a:off x="0" y="0"/>
          <a:ext cx="13163550" cy="428624"/>
        </a:xfrm>
        <a:prstGeom prst="rect">
          <a:avLst/>
        </a:prstGeom>
        <a:solidFill>
          <a:srgbClr val="ECF7F8"/>
        </a:solidFill>
        <a:ln w="9525" cmpd="sng">
          <a:noFill/>
        </a:ln>
        <a:effectLst>
          <a:outerShdw blurRad="50800" dist="38100" dir="5400000" algn="t" rotWithShape="0">
            <a:prstClr val="black">
              <a:alpha val="40000"/>
            </a:prstClr>
          </a:outerShdw>
        </a:effectLst>
        <a:scene3d>
          <a:camera prst="orthographicFront"/>
          <a:lightRig rig="glow" dir="t"/>
        </a:scene3d>
        <a:sp3d prstMaterial="softEdge"/>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1600" b="1" i="0" u="none" strike="noStrike" kern="0" cap="none" spc="0" normalizeH="0" baseline="0" noProof="0">
              <a:ln>
                <a:noFill/>
              </a:ln>
              <a:solidFill>
                <a:srgbClr val="0070C0"/>
              </a:solidFill>
              <a:effectLst/>
              <a:uLnTx/>
              <a:uFillTx/>
              <a:latin typeface="Century Gothic" pitchFamily="34" charset="0"/>
              <a:ea typeface="+mn-ea"/>
              <a:cs typeface="+mn-cs"/>
            </a:rPr>
            <a:t>                AIDE</a:t>
          </a:r>
        </a:p>
      </xdr:txBody>
    </xdr:sp>
    <xdr:clientData/>
  </xdr:twoCellAnchor>
  <xdr:twoCellAnchor editAs="oneCell">
    <xdr:from>
      <xdr:col>0</xdr:col>
      <xdr:colOff>85725</xdr:colOff>
      <xdr:row>0</xdr:row>
      <xdr:rowOff>19050</xdr:rowOff>
    </xdr:from>
    <xdr:to>
      <xdr:col>1</xdr:col>
      <xdr:colOff>135506</xdr:colOff>
      <xdr:row>1</xdr:row>
      <xdr:rowOff>9525</xdr:rowOff>
    </xdr:to>
    <xdr:pic>
      <xdr:nvPicPr>
        <xdr:cNvPr id="6" name="Imag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85725" y="19050"/>
          <a:ext cx="811781" cy="657225"/>
        </a:xfrm>
        <a:prstGeom prst="rect">
          <a:avLst/>
        </a:prstGeom>
      </xdr:spPr>
    </xdr:pic>
    <xdr:clientData/>
  </xdr:twoCellAnchor>
  <xdr:twoCellAnchor>
    <xdr:from>
      <xdr:col>0</xdr:col>
      <xdr:colOff>19050</xdr:colOff>
      <xdr:row>1</xdr:row>
      <xdr:rowOff>9526</xdr:rowOff>
    </xdr:from>
    <xdr:to>
      <xdr:col>17</xdr:col>
      <xdr:colOff>200025</xdr:colOff>
      <xdr:row>115</xdr:row>
      <xdr:rowOff>123826</xdr:rowOff>
    </xdr:to>
    <xdr:sp macro="" textlink="">
      <xdr:nvSpPr>
        <xdr:cNvPr id="4" name="ZoneTexte 3"/>
        <xdr:cNvSpPr txBox="1"/>
      </xdr:nvSpPr>
      <xdr:spPr>
        <a:xfrm>
          <a:off x="19050" y="676276"/>
          <a:ext cx="13134975" cy="2183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b="1">
              <a:latin typeface="Times New Roman" pitchFamily="18" charset="0"/>
              <a:cs typeface="Times New Roman" pitchFamily="18" charset="0"/>
            </a:rPr>
            <a:t>AVERTISSEMENT:</a:t>
          </a:r>
        </a:p>
        <a:p>
          <a:endParaRPr lang="fr-FR" sz="1200" b="1">
            <a:latin typeface="Times New Roman" pitchFamily="18" charset="0"/>
            <a:cs typeface="Times New Roman" pitchFamily="18" charset="0"/>
          </a:endParaRPr>
        </a:p>
        <a:p>
          <a:r>
            <a:rPr lang="fr-FR" sz="1200" b="0">
              <a:latin typeface="Times New Roman" pitchFamily="18" charset="0"/>
              <a:cs typeface="Times New Roman" pitchFamily="18" charset="0"/>
            </a:rPr>
            <a:t>Ce programme</a:t>
          </a:r>
          <a:r>
            <a:rPr lang="fr-FR" sz="1200" b="0" baseline="0">
              <a:latin typeface="Times New Roman" pitchFamily="18" charset="0"/>
              <a:cs typeface="Times New Roman" pitchFamily="18" charset="0"/>
            </a:rPr>
            <a:t> de calcul, est un outil d'aide au dimensionnement et malgré les vérifications éffectuées à chacune des étapes de mises en place de celui-ci, des erreurs ont pu se glisser dans le contenu. Ainsi,</a:t>
          </a:r>
        </a:p>
        <a:p>
          <a:r>
            <a:rPr lang="fr-FR" sz="1200" b="0" baseline="0">
              <a:latin typeface="Times New Roman" pitchFamily="18" charset="0"/>
              <a:cs typeface="Times New Roman" pitchFamily="18" charset="0"/>
            </a:rPr>
            <a:t>les informations contenues dans ce logiciel sont sous réserve d'exactitude. Les resultats obtenus ne sauraient donc être garantis et devront être vérifiés. Les informations erronées ou tout dommage </a:t>
          </a:r>
        </a:p>
        <a:p>
          <a:r>
            <a:rPr lang="fr-FR" sz="1200" b="0" baseline="0">
              <a:latin typeface="Times New Roman" pitchFamily="18" charset="0"/>
              <a:cs typeface="Times New Roman" pitchFamily="18" charset="0"/>
            </a:rPr>
            <a:t>en résultant ne sauraient en aucun cas engager la responsabilité des auteurs. De même, ils ne sauraient fonder de quelconques prétentions à indemnités.</a:t>
          </a:r>
        </a:p>
        <a:p>
          <a:endParaRPr lang="fr-FR" sz="1200" b="0" baseline="0">
            <a:latin typeface="Times New Roman" pitchFamily="18" charset="0"/>
            <a:cs typeface="Times New Roman" pitchFamily="18" charset="0"/>
          </a:endParaRPr>
        </a:p>
        <a:p>
          <a:r>
            <a:rPr lang="fr-FR" sz="1200" b="1" baseline="0">
              <a:latin typeface="Times New Roman" pitchFamily="18" charset="0"/>
              <a:cs typeface="Times New Roman" pitchFamily="18" charset="0"/>
            </a:rPr>
            <a:t>DROIT D'AUTEUR:</a:t>
          </a:r>
        </a:p>
        <a:p>
          <a:endParaRPr lang="fr-FR" sz="1200" b="1">
            <a:latin typeface="Times New Roman" pitchFamily="18" charset="0"/>
            <a:cs typeface="Times New Roman" pitchFamily="18" charset="0"/>
          </a:endParaRPr>
        </a:p>
        <a:p>
          <a:r>
            <a:rPr lang="fr-FR" sz="1200" b="0">
              <a:latin typeface="Times New Roman" pitchFamily="18" charset="0"/>
              <a:cs typeface="Times New Roman" pitchFamily="18" charset="0"/>
            </a:rPr>
            <a:t>237 </a:t>
          </a:r>
          <a:r>
            <a:rPr lang="fr-FR" sz="1200" b="0" i="1">
              <a:latin typeface="Times New Roman" pitchFamily="18" charset="0"/>
              <a:cs typeface="Times New Roman" pitchFamily="18" charset="0"/>
            </a:rPr>
            <a:t>ES</a:t>
          </a:r>
          <a:r>
            <a:rPr lang="fr-FR" sz="1200" b="0">
              <a:latin typeface="Times New Roman" pitchFamily="18" charset="0"/>
              <a:cs typeface="Times New Roman" pitchFamily="18" charset="0"/>
            </a:rPr>
            <a:t>.Calcul est une marque déposée</a:t>
          </a:r>
          <a:r>
            <a:rPr lang="fr-FR" sz="1200" b="0" baseline="0">
              <a:latin typeface="Times New Roman" pitchFamily="18" charset="0"/>
              <a:cs typeface="Times New Roman" pitchFamily="18" charset="0"/>
            </a:rPr>
            <a:t> de 237 énergie solaire.</a:t>
          </a:r>
        </a:p>
        <a:p>
          <a:r>
            <a:rPr lang="fr-FR" sz="1200" b="0">
              <a:latin typeface="Times New Roman" pitchFamily="18" charset="0"/>
              <a:cs typeface="Times New Roman" pitchFamily="18" charset="0"/>
            </a:rPr>
            <a:t>Copyright © 2017 Ing</a:t>
          </a:r>
          <a:r>
            <a:rPr lang="fr-FR" sz="1200" b="0" baseline="0">
              <a:latin typeface="Times New Roman" pitchFamily="18" charset="0"/>
              <a:cs typeface="Times New Roman" pitchFamily="18" charset="0"/>
            </a:rPr>
            <a:t> Tchematchou Tientcheu Gilly                                                                    </a:t>
          </a:r>
          <a:r>
            <a:rPr lang="fr-FR" sz="1200" b="0" baseline="0">
              <a:solidFill>
                <a:srgbClr val="92D050"/>
              </a:solidFill>
              <a:latin typeface="Times New Roman" pitchFamily="18" charset="0"/>
              <a:cs typeface="Times New Roman" pitchFamily="18" charset="0"/>
            </a:rPr>
            <a:t>De l'Energie pour tous </a:t>
          </a:r>
          <a:r>
            <a:rPr lang="fr-FR" sz="1100">
              <a:solidFill>
                <a:srgbClr val="92D050"/>
              </a:solidFill>
              <a:effectLst/>
              <a:latin typeface="Times New Roman" panose="02020603050405020304" pitchFamily="18" charset="0"/>
              <a:ea typeface="+mn-ea"/>
              <a:cs typeface="Times New Roman" panose="02020603050405020304" pitchFamily="18" charset="0"/>
            </a:rPr>
            <a:t>où que vous soyez</a:t>
          </a:r>
          <a:r>
            <a:rPr lang="fr-FR" sz="1100" baseline="0">
              <a:solidFill>
                <a:srgbClr val="92D050"/>
              </a:solidFill>
              <a:effectLst/>
              <a:latin typeface="Times New Roman" panose="02020603050405020304" pitchFamily="18" charset="0"/>
              <a:ea typeface="+mn-ea"/>
              <a:cs typeface="Times New Roman" panose="02020603050405020304" pitchFamily="18" charset="0"/>
            </a:rPr>
            <a:t> et quoi que vous fasiez.</a:t>
          </a:r>
          <a:endParaRPr lang="fr-FR" sz="1200" b="0" baseline="0">
            <a:solidFill>
              <a:srgbClr val="92D050"/>
            </a:solidFill>
            <a:latin typeface="Times New Roman" pitchFamily="18" charset="0"/>
            <a:cs typeface="Times New Roman" pitchFamily="18" charset="0"/>
          </a:endParaRPr>
        </a:p>
        <a:p>
          <a:r>
            <a:rPr lang="fr-FR" sz="1200" b="0" baseline="0">
              <a:latin typeface="Times New Roman" pitchFamily="18" charset="0"/>
              <a:cs typeface="Times New Roman" pitchFamily="18"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fr-FR" sz="1200" b="0" i="0" u="none" strike="noStrike" kern="0" cap="none" spc="0" normalizeH="0" baseline="0" noProof="0">
              <a:ln>
                <a:noFill/>
              </a:ln>
              <a:solidFill>
                <a:prstClr val="black"/>
              </a:solidFill>
              <a:effectLst/>
              <a:uLnTx/>
              <a:uFillTx/>
              <a:latin typeface="Times New Roman" pitchFamily="18" charset="0"/>
              <a:ea typeface="+mn-ea"/>
              <a:cs typeface="Times New Roman" pitchFamily="18" charset="0"/>
            </a:rPr>
            <a:t>Ing Tchematchou Tientcheu Gilly</a:t>
          </a:r>
        </a:p>
        <a:p>
          <a:pPr marL="0" marR="0" lvl="0" indent="0" defTabSz="914400" eaLnBrk="1" fontAlgn="auto" latinLnBrk="0" hangingPunct="1">
            <a:lnSpc>
              <a:spcPct val="100000"/>
            </a:lnSpc>
            <a:spcBef>
              <a:spcPts val="0"/>
            </a:spcBef>
            <a:spcAft>
              <a:spcPts val="0"/>
            </a:spcAft>
            <a:buClrTx/>
            <a:buSzTx/>
            <a:buFontTx/>
            <a:buNone/>
            <a:tabLst/>
            <a:defRPr/>
          </a:pPr>
          <a:r>
            <a:rPr kumimoji="0" lang="fr-FR" sz="1200" b="0" i="0" u="none" strike="noStrike" kern="0" cap="none" spc="0" normalizeH="0" baseline="0" noProof="0">
              <a:ln>
                <a:noFill/>
              </a:ln>
              <a:solidFill>
                <a:prstClr val="black"/>
              </a:solidFill>
              <a:effectLst/>
              <a:uLnTx/>
              <a:uFillTx/>
              <a:latin typeface="Times New Roman" pitchFamily="18" charset="0"/>
              <a:ea typeface="+mn-ea"/>
              <a:cs typeface="Times New Roman" pitchFamily="18" charset="0"/>
            </a:rPr>
            <a:t>Master d'ingénieur génie énergétique option Energie Renouvelable (EnR).</a:t>
          </a:r>
          <a:r>
            <a:rPr lang="fr-FR" sz="1200" b="0" baseline="0">
              <a:latin typeface="Times New Roman" pitchFamily="18" charset="0"/>
              <a:cs typeface="Times New Roman" pitchFamily="18" charset="0"/>
            </a:rPr>
            <a:t/>
          </a:r>
          <a:br>
            <a:rPr lang="fr-FR" sz="1200" b="0" baseline="0">
              <a:latin typeface="Times New Roman" pitchFamily="18" charset="0"/>
              <a:cs typeface="Times New Roman" pitchFamily="18" charset="0"/>
            </a:rPr>
          </a:br>
          <a:r>
            <a:rPr lang="fr-FR" sz="1200" b="0" baseline="0">
              <a:latin typeface="Times New Roman" pitchFamily="18" charset="0"/>
              <a:cs typeface="Times New Roman" pitchFamily="18" charset="0"/>
            </a:rPr>
            <a:t>Yaoundé-Cameroun</a:t>
          </a:r>
        </a:p>
        <a:p>
          <a:r>
            <a:rPr lang="fr-FR" sz="1200" b="0" baseline="0">
              <a:latin typeface="Times New Roman" pitchFamily="18" charset="0"/>
              <a:cs typeface="Times New Roman" pitchFamily="18" charset="0"/>
            </a:rPr>
            <a:t>Tel.: +237 670 63 05 67                                                                                                                      </a:t>
          </a:r>
          <a:r>
            <a:rPr lang="fr-FR" sz="1200" b="0" baseline="0">
              <a:solidFill>
                <a:srgbClr val="92D050"/>
              </a:solidFill>
              <a:latin typeface="Times New Roman" pitchFamily="18" charset="0"/>
              <a:cs typeface="Times New Roman" pitchFamily="18" charset="0"/>
            </a:rPr>
            <a:t>Restez calme et laissez nous produire votre électricité.</a:t>
          </a:r>
        </a:p>
        <a:p>
          <a:r>
            <a:rPr lang="fr-FR" sz="1200" b="0" baseline="0">
              <a:latin typeface="Times New Roman" pitchFamily="18" charset="0"/>
              <a:cs typeface="Times New Roman" pitchFamily="18" charset="0"/>
            </a:rPr>
            <a:t>gillytientcheu@yahoo.fr</a:t>
          </a:r>
          <a:endParaRPr lang="fr-FR" sz="1200" b="0">
            <a:latin typeface="Times New Roman" pitchFamily="18" charset="0"/>
            <a:cs typeface="Times New Roman" pitchFamily="18" charset="0"/>
          </a:endParaRPr>
        </a:p>
        <a:p>
          <a:endParaRPr lang="fr-FR" sz="1200" b="1">
            <a:latin typeface="Times New Roman" pitchFamily="18" charset="0"/>
            <a:cs typeface="Times New Roman" pitchFamily="18" charset="0"/>
          </a:endParaRPr>
        </a:p>
        <a:p>
          <a:r>
            <a:rPr lang="fr-FR" sz="1200" b="1">
              <a:latin typeface="Times New Roman" pitchFamily="18" charset="0"/>
              <a:cs typeface="Times New Roman" pitchFamily="18" charset="0"/>
            </a:rPr>
            <a:t>REMPLISSAGE</a:t>
          </a:r>
          <a:r>
            <a:rPr lang="fr-FR" sz="1200" baseline="0">
              <a:latin typeface="Times New Roman" pitchFamily="18" charset="0"/>
              <a:cs typeface="Times New Roman" pitchFamily="18" charset="0"/>
            </a:rPr>
            <a:t>:</a:t>
          </a:r>
        </a:p>
        <a:p>
          <a:endParaRPr lang="fr-FR" sz="1200" baseline="0">
            <a:latin typeface="Times New Roman" pitchFamily="18" charset="0"/>
            <a:cs typeface="Times New Roman" pitchFamily="18" charset="0"/>
          </a:endParaRPr>
        </a:p>
        <a:p>
          <a:r>
            <a:rPr lang="fr-FR" sz="1200" baseline="0">
              <a:latin typeface="Times New Roman" pitchFamily="18" charset="0"/>
              <a:cs typeface="Times New Roman" pitchFamily="18" charset="0"/>
            </a:rPr>
            <a:t>1. Le logiciel devra être rempli soignesement suivant cet ordre: Données du site, besoin électrique, économie d'énergie, données d'irradiation, système PV puis câblage et protection.</a:t>
          </a:r>
        </a:p>
        <a:p>
          <a:r>
            <a:rPr lang="fr-FR" sz="1200" b="1" i="1" baseline="0">
              <a:latin typeface="Times New Roman" pitchFamily="18" charset="0"/>
              <a:cs typeface="Times New Roman" pitchFamily="18" charset="0"/>
            </a:rPr>
            <a:t>Note</a:t>
          </a:r>
          <a:r>
            <a:rPr lang="fr-FR" sz="1200" i="1" baseline="0">
              <a:latin typeface="Times New Roman" pitchFamily="18" charset="0"/>
              <a:cs typeface="Times New Roman" pitchFamily="18" charset="0"/>
            </a:rPr>
            <a:t> : Une feuille "Estimation financière" est aussi disponible vous permettant de faire une estimation rapide du coût de votre installation</a:t>
          </a:r>
          <a:r>
            <a:rPr lang="fr-FR" sz="1200" baseline="0">
              <a:latin typeface="Times New Roman" pitchFamily="18" charset="0"/>
              <a:cs typeface="Times New Roman" pitchFamily="18" charset="0"/>
            </a:rPr>
            <a:t>.</a:t>
          </a:r>
        </a:p>
        <a:p>
          <a:r>
            <a:rPr lang="fr-FR" sz="1200" baseline="0">
              <a:latin typeface="Times New Roman" pitchFamily="18" charset="0"/>
              <a:cs typeface="Times New Roman" pitchFamily="18" charset="0"/>
            </a:rPr>
            <a:t>2. Les feuilles devront être remplies prioritairements de la </a:t>
          </a:r>
          <a:r>
            <a:rPr lang="fr-FR" sz="1200" b="1" baseline="0">
              <a:latin typeface="Times New Roman" pitchFamily="18" charset="0"/>
              <a:cs typeface="Times New Roman" pitchFamily="18" charset="0"/>
            </a:rPr>
            <a:t>gauche</a:t>
          </a:r>
          <a:r>
            <a:rPr lang="fr-FR" sz="1200" baseline="0">
              <a:latin typeface="Times New Roman" pitchFamily="18" charset="0"/>
              <a:cs typeface="Times New Roman" pitchFamily="18" charset="0"/>
            </a:rPr>
            <a:t> vers la </a:t>
          </a:r>
          <a:r>
            <a:rPr lang="fr-FR" sz="1200" b="1" baseline="0">
              <a:latin typeface="Times New Roman" pitchFamily="18" charset="0"/>
              <a:cs typeface="Times New Roman" pitchFamily="18" charset="0"/>
            </a:rPr>
            <a:t>droite</a:t>
          </a:r>
          <a:r>
            <a:rPr lang="fr-FR" sz="1200" baseline="0">
              <a:latin typeface="Times New Roman" pitchFamily="18" charset="0"/>
              <a:cs typeface="Times New Roman" pitchFamily="18" charset="0"/>
            </a:rPr>
            <a:t> puis du </a:t>
          </a:r>
          <a:r>
            <a:rPr lang="fr-FR" sz="1200" b="1" baseline="0">
              <a:latin typeface="Times New Roman" pitchFamily="18" charset="0"/>
              <a:cs typeface="Times New Roman" pitchFamily="18" charset="0"/>
            </a:rPr>
            <a:t>haut</a:t>
          </a:r>
          <a:r>
            <a:rPr lang="fr-FR" sz="1200" baseline="0">
              <a:latin typeface="Times New Roman" pitchFamily="18" charset="0"/>
              <a:cs typeface="Times New Roman" pitchFamily="18" charset="0"/>
            </a:rPr>
            <a:t> vers le </a:t>
          </a:r>
          <a:r>
            <a:rPr lang="fr-FR" sz="1200" b="1" baseline="0">
              <a:latin typeface="Times New Roman" pitchFamily="18" charset="0"/>
              <a:cs typeface="Times New Roman" pitchFamily="18" charset="0"/>
            </a:rPr>
            <a:t>bas</a:t>
          </a:r>
          <a:r>
            <a:rPr lang="fr-FR" sz="1200" baseline="0">
              <a:latin typeface="Times New Roman" pitchFamily="18" charset="0"/>
              <a:cs typeface="Times New Roman" pitchFamily="18" charset="0"/>
            </a:rPr>
            <a:t>. </a:t>
          </a:r>
          <a:r>
            <a:rPr lang="fr-FR" sz="1200" b="0" i="1" u="sng" baseline="0">
              <a:latin typeface="Times New Roman" pitchFamily="18" charset="0"/>
              <a:cs typeface="Times New Roman" pitchFamily="18" charset="0"/>
            </a:rPr>
            <a:t>N.B</a:t>
          </a:r>
          <a:r>
            <a:rPr lang="fr-FR" sz="1200" i="1" baseline="0">
              <a:latin typeface="Times New Roman" pitchFamily="18" charset="0"/>
              <a:cs typeface="Times New Roman" pitchFamily="18" charset="0"/>
            </a:rPr>
            <a:t>.: Seule les cases encadrées </a:t>
          </a:r>
          <a:r>
            <a:rPr lang="fr-FR" sz="1200" i="0" baseline="0">
              <a:latin typeface="Times New Roman" pitchFamily="18" charset="0"/>
              <a:cs typeface="Times New Roman" pitchFamily="18" charset="0"/>
            </a:rPr>
            <a:t>(                      ) </a:t>
          </a:r>
          <a:r>
            <a:rPr lang="fr-FR" sz="1200" i="1" baseline="0">
              <a:latin typeface="Times New Roman" pitchFamily="18" charset="0"/>
              <a:cs typeface="Times New Roman" pitchFamily="18" charset="0"/>
            </a:rPr>
            <a:t>devrons être remplies ou modifiées.</a:t>
          </a:r>
        </a:p>
        <a:p>
          <a:r>
            <a:rPr lang="fr-FR" sz="1200" i="0" baseline="0">
              <a:latin typeface="Times New Roman" pitchFamily="18" charset="0"/>
              <a:cs typeface="Times New Roman" pitchFamily="18" charset="0"/>
            </a:rPr>
            <a:t>3. En touchans les cellules avec le cuisseur de votre souris, des messages d'aide pourrons apparaittre.</a:t>
          </a:r>
        </a:p>
        <a:p>
          <a:endParaRPr lang="fr-FR" sz="1200" i="0" baseline="0">
            <a:latin typeface="Times New Roman" pitchFamily="18" charset="0"/>
            <a:cs typeface="Times New Roman" pitchFamily="18" charset="0"/>
          </a:endParaRPr>
        </a:p>
        <a:p>
          <a:r>
            <a:rPr lang="fr-FR" sz="1200" b="1" i="0">
              <a:latin typeface="Times New Roman" pitchFamily="18" charset="0"/>
              <a:cs typeface="Times New Roman" pitchFamily="18" charset="0"/>
            </a:rPr>
            <a:t>NORMES ET REGLEMENTATION</a:t>
          </a:r>
          <a:r>
            <a:rPr lang="fr-FR" sz="1200" i="0">
              <a:latin typeface="Times New Roman" pitchFamily="18" charset="0"/>
              <a:cs typeface="Times New Roman" pitchFamily="18" charset="0"/>
            </a:rPr>
            <a:t>:</a:t>
          </a:r>
        </a:p>
        <a:p>
          <a:endParaRPr lang="fr-FR" sz="1200" i="0">
            <a:latin typeface="Times New Roman" pitchFamily="18" charset="0"/>
            <a:cs typeface="Times New Roman" pitchFamily="18" charset="0"/>
          </a:endParaRPr>
        </a:p>
        <a:p>
          <a:r>
            <a:rPr lang="fr-FR" sz="1200" i="0">
              <a:latin typeface="Times New Roman" pitchFamily="18" charset="0"/>
              <a:cs typeface="Times New Roman" pitchFamily="18" charset="0"/>
            </a:rPr>
            <a:t>Le</a:t>
          </a:r>
          <a:r>
            <a:rPr lang="fr-FR" sz="1200" i="0" baseline="0">
              <a:latin typeface="Times New Roman" pitchFamily="18" charset="0"/>
              <a:cs typeface="Times New Roman" pitchFamily="18" charset="0"/>
            </a:rPr>
            <a:t> présent outil aide à été mit sur pied conformément au guide de l'UTE C15-712-2 de juillet 2013 sur les Installations photovoltaïques autonomes non raccordées au réseau public de distribution avec </a:t>
          </a:r>
        </a:p>
        <a:p>
          <a:r>
            <a:rPr lang="fr-FR" sz="1200" i="0" baseline="0">
              <a:latin typeface="Times New Roman" pitchFamily="18" charset="0"/>
              <a:cs typeface="Times New Roman" pitchFamily="18" charset="0"/>
            </a:rPr>
            <a:t>stockage par batterie. Et à un ensemble de normes, réglements et recommandation connexes.</a:t>
          </a:r>
          <a:endParaRPr lang="fr-FR" sz="1200" i="0">
            <a:latin typeface="Times New Roman" pitchFamily="18" charset="0"/>
            <a:cs typeface="Times New Roman" pitchFamily="18" charset="0"/>
          </a:endParaRPr>
        </a:p>
      </xdr:txBody>
    </xdr:sp>
    <xdr:clientData/>
  </xdr:twoCellAnchor>
  <xdr:twoCellAnchor>
    <xdr:from>
      <xdr:col>11</xdr:col>
      <xdr:colOff>247649</xdr:colOff>
      <xdr:row>20</xdr:row>
      <xdr:rowOff>104775</xdr:rowOff>
    </xdr:from>
    <xdr:to>
      <xdr:col>12</xdr:col>
      <xdr:colOff>276224</xdr:colOff>
      <xdr:row>21</xdr:row>
      <xdr:rowOff>95250</xdr:rowOff>
    </xdr:to>
    <xdr:sp macro="" textlink="">
      <xdr:nvSpPr>
        <xdr:cNvPr id="5" name="Rectangle 4"/>
        <xdr:cNvSpPr/>
      </xdr:nvSpPr>
      <xdr:spPr>
        <a:xfrm>
          <a:off x="8629649" y="4391025"/>
          <a:ext cx="790575" cy="18097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523875</xdr:colOff>
      <xdr:row>10</xdr:row>
      <xdr:rowOff>161925</xdr:rowOff>
    </xdr:from>
    <xdr:to>
      <xdr:col>11</xdr:col>
      <xdr:colOff>463153</xdr:colOff>
      <xdr:row>14</xdr:row>
      <xdr:rowOff>57150</xdr:rowOff>
    </xdr:to>
    <xdr:pic>
      <xdr:nvPicPr>
        <xdr:cNvPr id="7" name="Image 6"/>
        <xdr:cNvPicPr>
          <a:picLocks noChangeAspect="1"/>
        </xdr:cNvPicPr>
      </xdr:nvPicPr>
      <xdr:blipFill rotWithShape="1">
        <a:blip xmlns:r="http://schemas.openxmlformats.org/officeDocument/2006/relationships" r:embed="rId2"/>
        <a:srcRect b="21739"/>
        <a:stretch/>
      </xdr:blipFill>
      <xdr:spPr>
        <a:xfrm>
          <a:off x="6619875" y="2543175"/>
          <a:ext cx="2225278" cy="6572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sheetPr codeName="Feuil1">
    <tabColor rgb="FF92D050"/>
  </sheetPr>
  <dimension ref="A1:O18"/>
  <sheetViews>
    <sheetView workbookViewId="0"/>
  </sheetViews>
  <sheetFormatPr baseColWidth="10" defaultColWidth="11.42578125" defaultRowHeight="15"/>
  <cols>
    <col min="1" max="16384" width="11.42578125" style="5"/>
  </cols>
  <sheetData>
    <row r="1" spans="1:1">
      <c r="A1" s="5" t="s">
        <v>0</v>
      </c>
    </row>
    <row r="18" spans="15:15">
      <c r="O18" s="5" t="s">
        <v>0</v>
      </c>
    </row>
  </sheetData>
  <sheetProtection password="DEB3" sheet="1" objects="1" scenarios="1"/>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sheetPr codeName="Feuil3">
    <tabColor rgb="FF92D050"/>
  </sheetPr>
  <dimension ref="A1:I64"/>
  <sheetViews>
    <sheetView workbookViewId="0">
      <pane ySplit="1" topLeftCell="A38" activePane="bottomLeft" state="frozen"/>
      <selection activeCell="P16" sqref="P16"/>
      <selection pane="bottomLeft" activeCell="C54" sqref="C54"/>
    </sheetView>
  </sheetViews>
  <sheetFormatPr baseColWidth="10" defaultColWidth="11.42578125" defaultRowHeight="15.75"/>
  <cols>
    <col min="1" max="1" width="30.85546875" style="201" customWidth="1"/>
    <col min="2" max="2" width="8.140625" style="201" customWidth="1"/>
    <col min="3" max="3" width="16.5703125" style="201" customWidth="1"/>
    <col min="4" max="4" width="17.28515625" style="201" customWidth="1"/>
    <col min="5" max="5" width="26.140625" style="201" customWidth="1"/>
    <col min="6" max="6" width="30.7109375" style="201" customWidth="1"/>
    <col min="7" max="7" width="27.7109375" style="201" customWidth="1"/>
    <col min="8" max="8" width="31" style="201" customWidth="1"/>
    <col min="9" max="16384" width="11.42578125" style="201"/>
  </cols>
  <sheetData>
    <row r="1" spans="1:9" ht="76.5" customHeight="1">
      <c r="I1" s="25"/>
    </row>
    <row r="2" spans="1:9">
      <c r="I2" s="25"/>
    </row>
    <row r="3" spans="1:9" ht="17.25">
      <c r="A3" s="61" t="s">
        <v>389</v>
      </c>
      <c r="B3" s="60">
        <v>16</v>
      </c>
      <c r="C3" s="190">
        <v>8</v>
      </c>
      <c r="D3" s="190"/>
      <c r="E3" s="60">
        <v>36</v>
      </c>
      <c r="F3" s="60"/>
      <c r="G3" s="54">
        <f>B3*(E3/1000)</f>
        <v>0.57599999999999996</v>
      </c>
      <c r="H3" s="54">
        <f>((C3+D3)*G3)</f>
        <v>4.6079999999999997</v>
      </c>
      <c r="I3" s="25">
        <f>D3*G3</f>
        <v>0</v>
      </c>
    </row>
    <row r="4" spans="1:9" ht="17.25">
      <c r="A4" s="61" t="s">
        <v>390</v>
      </c>
      <c r="B4" s="60">
        <v>1</v>
      </c>
      <c r="C4" s="190">
        <v>6</v>
      </c>
      <c r="D4" s="190">
        <v>6</v>
      </c>
      <c r="E4" s="60">
        <v>76</v>
      </c>
      <c r="F4" s="60">
        <v>152</v>
      </c>
      <c r="G4" s="54">
        <f t="shared" ref="G4:G17" si="0">B4*(E4/1000)</f>
        <v>7.5999999999999998E-2</v>
      </c>
      <c r="H4" s="54">
        <f t="shared" ref="H4:H17" si="1">((C4+D4)*G4)</f>
        <v>0.91199999999999992</v>
      </c>
      <c r="I4" s="25">
        <f t="shared" ref="I4:I17" si="2">D4*G4</f>
        <v>0.45599999999999996</v>
      </c>
    </row>
    <row r="5" spans="1:9" ht="17.25">
      <c r="A5" s="61" t="s">
        <v>391</v>
      </c>
      <c r="B5" s="60">
        <v>4</v>
      </c>
      <c r="C5" s="190">
        <v>2.5</v>
      </c>
      <c r="D5" s="190"/>
      <c r="E5" s="60">
        <f>16*220*0.8</f>
        <v>2816</v>
      </c>
      <c r="F5" s="60"/>
      <c r="G5" s="54">
        <f t="shared" si="0"/>
        <v>11.263999999999999</v>
      </c>
      <c r="H5" s="54">
        <f t="shared" si="1"/>
        <v>28.159999999999997</v>
      </c>
      <c r="I5" s="25">
        <f t="shared" si="2"/>
        <v>0</v>
      </c>
    </row>
    <row r="6" spans="1:9" ht="17.25">
      <c r="A6" s="61"/>
      <c r="B6" s="60"/>
      <c r="C6" s="190"/>
      <c r="D6" s="190"/>
      <c r="E6" s="60"/>
      <c r="F6" s="60"/>
      <c r="G6" s="54">
        <f t="shared" si="0"/>
        <v>0</v>
      </c>
      <c r="H6" s="54">
        <f t="shared" si="1"/>
        <v>0</v>
      </c>
      <c r="I6" s="25">
        <f t="shared" si="2"/>
        <v>0</v>
      </c>
    </row>
    <row r="7" spans="1:9" ht="17.25">
      <c r="A7" s="61"/>
      <c r="B7" s="60"/>
      <c r="C7" s="190"/>
      <c r="D7" s="190"/>
      <c r="E7" s="60"/>
      <c r="F7" s="60"/>
      <c r="G7" s="54">
        <f t="shared" si="0"/>
        <v>0</v>
      </c>
      <c r="H7" s="54">
        <f t="shared" si="1"/>
        <v>0</v>
      </c>
      <c r="I7" s="25">
        <f t="shared" si="2"/>
        <v>0</v>
      </c>
    </row>
    <row r="8" spans="1:9" ht="17.25">
      <c r="A8" s="61"/>
      <c r="B8" s="60"/>
      <c r="C8" s="190"/>
      <c r="D8" s="190"/>
      <c r="E8" s="60"/>
      <c r="F8" s="60"/>
      <c r="G8" s="54">
        <f t="shared" si="0"/>
        <v>0</v>
      </c>
      <c r="H8" s="54">
        <f t="shared" si="1"/>
        <v>0</v>
      </c>
      <c r="I8" s="25">
        <f t="shared" si="2"/>
        <v>0</v>
      </c>
    </row>
    <row r="9" spans="1:9" ht="17.25">
      <c r="A9" s="61"/>
      <c r="B9" s="60"/>
      <c r="C9" s="190"/>
      <c r="D9" s="190"/>
      <c r="E9" s="60"/>
      <c r="F9" s="60"/>
      <c r="G9" s="54">
        <f t="shared" si="0"/>
        <v>0</v>
      </c>
      <c r="H9" s="54">
        <f t="shared" si="1"/>
        <v>0</v>
      </c>
      <c r="I9" s="25">
        <f t="shared" si="2"/>
        <v>0</v>
      </c>
    </row>
    <row r="10" spans="1:9" ht="17.25">
      <c r="A10" s="61"/>
      <c r="B10" s="60"/>
      <c r="C10" s="190"/>
      <c r="D10" s="190"/>
      <c r="E10" s="60"/>
      <c r="F10" s="60"/>
      <c r="G10" s="54">
        <f t="shared" si="0"/>
        <v>0</v>
      </c>
      <c r="H10" s="54">
        <f t="shared" si="1"/>
        <v>0</v>
      </c>
      <c r="I10" s="25">
        <f t="shared" si="2"/>
        <v>0</v>
      </c>
    </row>
    <row r="11" spans="1:9" ht="17.25">
      <c r="A11" s="61"/>
      <c r="B11" s="60"/>
      <c r="C11" s="190"/>
      <c r="D11" s="190"/>
      <c r="E11" s="60"/>
      <c r="F11" s="60"/>
      <c r="G11" s="54">
        <f t="shared" si="0"/>
        <v>0</v>
      </c>
      <c r="H11" s="54">
        <f t="shared" si="1"/>
        <v>0</v>
      </c>
      <c r="I11" s="25">
        <f t="shared" si="2"/>
        <v>0</v>
      </c>
    </row>
    <row r="12" spans="1:9" ht="17.25">
      <c r="A12" s="61"/>
      <c r="B12" s="60"/>
      <c r="C12" s="190"/>
      <c r="D12" s="190"/>
      <c r="E12" s="60"/>
      <c r="F12" s="60"/>
      <c r="G12" s="54">
        <f t="shared" si="0"/>
        <v>0</v>
      </c>
      <c r="H12" s="54">
        <f t="shared" si="1"/>
        <v>0</v>
      </c>
      <c r="I12" s="25">
        <f t="shared" si="2"/>
        <v>0</v>
      </c>
    </row>
    <row r="13" spans="1:9" ht="17.25">
      <c r="A13" s="61"/>
      <c r="B13" s="60"/>
      <c r="C13" s="190"/>
      <c r="D13" s="190"/>
      <c r="E13" s="60"/>
      <c r="F13" s="60"/>
      <c r="G13" s="54">
        <f t="shared" si="0"/>
        <v>0</v>
      </c>
      <c r="H13" s="54">
        <f t="shared" si="1"/>
        <v>0</v>
      </c>
      <c r="I13" s="25">
        <f t="shared" si="2"/>
        <v>0</v>
      </c>
    </row>
    <row r="14" spans="1:9" ht="17.25">
      <c r="A14" s="61"/>
      <c r="B14" s="60"/>
      <c r="C14" s="190"/>
      <c r="D14" s="190"/>
      <c r="E14" s="190"/>
      <c r="F14" s="60"/>
      <c r="G14" s="54">
        <f t="shared" si="0"/>
        <v>0</v>
      </c>
      <c r="H14" s="54">
        <f t="shared" si="1"/>
        <v>0</v>
      </c>
      <c r="I14" s="25">
        <f t="shared" si="2"/>
        <v>0</v>
      </c>
    </row>
    <row r="15" spans="1:9" ht="17.25">
      <c r="A15" s="61"/>
      <c r="B15" s="60"/>
      <c r="C15" s="190"/>
      <c r="D15" s="190"/>
      <c r="E15" s="60"/>
      <c r="F15" s="60"/>
      <c r="G15" s="54">
        <f t="shared" si="0"/>
        <v>0</v>
      </c>
      <c r="H15" s="54">
        <f t="shared" si="1"/>
        <v>0</v>
      </c>
      <c r="I15" s="25">
        <f t="shared" si="2"/>
        <v>0</v>
      </c>
    </row>
    <row r="16" spans="1:9" ht="17.25">
      <c r="A16" s="61"/>
      <c r="B16" s="60"/>
      <c r="C16" s="190"/>
      <c r="D16" s="190"/>
      <c r="E16" s="60"/>
      <c r="F16" s="60"/>
      <c r="G16" s="54">
        <f t="shared" si="0"/>
        <v>0</v>
      </c>
      <c r="H16" s="54">
        <f t="shared" si="1"/>
        <v>0</v>
      </c>
      <c r="I16" s="25">
        <f t="shared" si="2"/>
        <v>0</v>
      </c>
    </row>
    <row r="17" spans="1:9" ht="17.25">
      <c r="A17" s="61"/>
      <c r="B17" s="60"/>
      <c r="C17" s="190"/>
      <c r="D17" s="190"/>
      <c r="E17" s="60"/>
      <c r="F17" s="60"/>
      <c r="G17" s="54">
        <f t="shared" si="0"/>
        <v>0</v>
      </c>
      <c r="H17" s="54">
        <f t="shared" si="1"/>
        <v>0</v>
      </c>
      <c r="I17" s="25">
        <f t="shared" si="2"/>
        <v>0</v>
      </c>
    </row>
    <row r="18" spans="1:9" ht="17.25">
      <c r="A18" s="55" t="s">
        <v>55</v>
      </c>
      <c r="B18" s="26"/>
      <c r="C18" s="26"/>
      <c r="D18" s="25"/>
      <c r="E18" s="56">
        <f>IF((SUM(E3:E17))=0,"",SUM(E3:E17))</f>
        <v>2928</v>
      </c>
      <c r="F18" s="56">
        <f>IF((SUM(F3:F17))=0,"",SUM(F3:F17))</f>
        <v>152</v>
      </c>
      <c r="G18" s="56">
        <f>SUM(G3:G17)</f>
        <v>11.915999999999999</v>
      </c>
      <c r="H18" s="56">
        <f>SUM(H3:H17)</f>
        <v>33.679999999999993</v>
      </c>
      <c r="I18" s="25">
        <f>SUM(I3:I17)</f>
        <v>0.45599999999999996</v>
      </c>
    </row>
    <row r="19" spans="1:9">
      <c r="G19" s="202"/>
      <c r="H19" s="202"/>
      <c r="I19" s="25"/>
    </row>
    <row r="20" spans="1:9" ht="17.25">
      <c r="A20" s="57"/>
      <c r="B20" s="58"/>
      <c r="C20" s="59"/>
      <c r="D20" s="59"/>
      <c r="E20" s="60"/>
      <c r="F20" s="60"/>
      <c r="G20" s="62">
        <f>B20*(E20/1000)</f>
        <v>0</v>
      </c>
      <c r="H20" s="62">
        <f>((C20+D20)*G20)</f>
        <v>0</v>
      </c>
      <c r="I20" s="25">
        <f>D20*G20</f>
        <v>0</v>
      </c>
    </row>
    <row r="21" spans="1:9" ht="17.25">
      <c r="A21" s="61"/>
      <c r="B21" s="60"/>
      <c r="C21" s="60"/>
      <c r="D21" s="60"/>
      <c r="E21" s="60"/>
      <c r="F21" s="60"/>
      <c r="G21" s="62">
        <f t="shared" ref="G21:G34" si="3">B21*(E21/1000)</f>
        <v>0</v>
      </c>
      <c r="H21" s="62">
        <f t="shared" ref="H21:H34" si="4">((C21+D21)*G21)</f>
        <v>0</v>
      </c>
      <c r="I21" s="25">
        <f t="shared" ref="I21:I34" si="5">D21*G21</f>
        <v>0</v>
      </c>
    </row>
    <row r="22" spans="1:9" ht="17.25">
      <c r="A22" s="61"/>
      <c r="B22" s="60"/>
      <c r="C22" s="60"/>
      <c r="D22" s="60"/>
      <c r="E22" s="60"/>
      <c r="F22" s="60"/>
      <c r="G22" s="62">
        <f t="shared" si="3"/>
        <v>0</v>
      </c>
      <c r="H22" s="62">
        <f t="shared" si="4"/>
        <v>0</v>
      </c>
      <c r="I22" s="25">
        <f t="shared" si="5"/>
        <v>0</v>
      </c>
    </row>
    <row r="23" spans="1:9" ht="17.25">
      <c r="A23" s="61"/>
      <c r="B23" s="60"/>
      <c r="C23" s="60"/>
      <c r="D23" s="60"/>
      <c r="E23" s="60"/>
      <c r="F23" s="60"/>
      <c r="G23" s="62">
        <f t="shared" si="3"/>
        <v>0</v>
      </c>
      <c r="H23" s="62">
        <f t="shared" si="4"/>
        <v>0</v>
      </c>
      <c r="I23" s="25">
        <f t="shared" si="5"/>
        <v>0</v>
      </c>
    </row>
    <row r="24" spans="1:9" ht="17.25">
      <c r="A24" s="61"/>
      <c r="B24" s="60"/>
      <c r="C24" s="60"/>
      <c r="D24" s="60"/>
      <c r="E24" s="60"/>
      <c r="F24" s="60"/>
      <c r="G24" s="62">
        <f t="shared" si="3"/>
        <v>0</v>
      </c>
      <c r="H24" s="62">
        <f t="shared" si="4"/>
        <v>0</v>
      </c>
      <c r="I24" s="25">
        <f t="shared" si="5"/>
        <v>0</v>
      </c>
    </row>
    <row r="25" spans="1:9" ht="17.25">
      <c r="A25" s="61"/>
      <c r="B25" s="60"/>
      <c r="C25" s="60"/>
      <c r="D25" s="60"/>
      <c r="E25" s="60"/>
      <c r="F25" s="60"/>
      <c r="G25" s="62">
        <f t="shared" si="3"/>
        <v>0</v>
      </c>
      <c r="H25" s="62">
        <f t="shared" si="4"/>
        <v>0</v>
      </c>
      <c r="I25" s="25">
        <f t="shared" si="5"/>
        <v>0</v>
      </c>
    </row>
    <row r="26" spans="1:9" ht="17.25">
      <c r="A26" s="61"/>
      <c r="B26" s="60"/>
      <c r="C26" s="60"/>
      <c r="D26" s="60"/>
      <c r="E26" s="60"/>
      <c r="F26" s="60"/>
      <c r="G26" s="62">
        <f t="shared" si="3"/>
        <v>0</v>
      </c>
      <c r="H26" s="62">
        <f t="shared" si="4"/>
        <v>0</v>
      </c>
      <c r="I26" s="25">
        <f t="shared" si="5"/>
        <v>0</v>
      </c>
    </row>
    <row r="27" spans="1:9" ht="17.25">
      <c r="A27" s="61"/>
      <c r="B27" s="60"/>
      <c r="C27" s="60"/>
      <c r="D27" s="60"/>
      <c r="E27" s="60"/>
      <c r="F27" s="60"/>
      <c r="G27" s="62">
        <f t="shared" si="3"/>
        <v>0</v>
      </c>
      <c r="H27" s="62">
        <f t="shared" si="4"/>
        <v>0</v>
      </c>
      <c r="I27" s="25">
        <f t="shared" si="5"/>
        <v>0</v>
      </c>
    </row>
    <row r="28" spans="1:9" ht="17.25">
      <c r="A28" s="61"/>
      <c r="B28" s="60"/>
      <c r="C28" s="60"/>
      <c r="D28" s="60"/>
      <c r="E28" s="60"/>
      <c r="F28" s="60"/>
      <c r="G28" s="62">
        <f t="shared" si="3"/>
        <v>0</v>
      </c>
      <c r="H28" s="62">
        <f t="shared" si="4"/>
        <v>0</v>
      </c>
      <c r="I28" s="25">
        <f t="shared" si="5"/>
        <v>0</v>
      </c>
    </row>
    <row r="29" spans="1:9" ht="17.25">
      <c r="A29" s="61"/>
      <c r="B29" s="60"/>
      <c r="C29" s="60"/>
      <c r="D29" s="60"/>
      <c r="E29" s="60"/>
      <c r="F29" s="60"/>
      <c r="G29" s="62">
        <f t="shared" si="3"/>
        <v>0</v>
      </c>
      <c r="H29" s="62">
        <f t="shared" si="4"/>
        <v>0</v>
      </c>
      <c r="I29" s="25">
        <f t="shared" si="5"/>
        <v>0</v>
      </c>
    </row>
    <row r="30" spans="1:9" ht="17.25">
      <c r="A30" s="61"/>
      <c r="B30" s="60"/>
      <c r="C30" s="60"/>
      <c r="D30" s="60"/>
      <c r="E30" s="60"/>
      <c r="F30" s="60"/>
      <c r="G30" s="62">
        <f t="shared" si="3"/>
        <v>0</v>
      </c>
      <c r="H30" s="62">
        <f t="shared" si="4"/>
        <v>0</v>
      </c>
      <c r="I30" s="25">
        <f t="shared" si="5"/>
        <v>0</v>
      </c>
    </row>
    <row r="31" spans="1:9" ht="17.25">
      <c r="A31" s="61"/>
      <c r="B31" s="60"/>
      <c r="C31" s="60"/>
      <c r="D31" s="60"/>
      <c r="E31" s="60"/>
      <c r="F31" s="60"/>
      <c r="G31" s="62">
        <f t="shared" si="3"/>
        <v>0</v>
      </c>
      <c r="H31" s="62">
        <f t="shared" si="4"/>
        <v>0</v>
      </c>
      <c r="I31" s="25">
        <f t="shared" si="5"/>
        <v>0</v>
      </c>
    </row>
    <row r="32" spans="1:9" ht="17.25">
      <c r="A32" s="61"/>
      <c r="B32" s="60"/>
      <c r="C32" s="60"/>
      <c r="D32" s="60"/>
      <c r="E32" s="60"/>
      <c r="F32" s="60"/>
      <c r="G32" s="62">
        <f t="shared" si="3"/>
        <v>0</v>
      </c>
      <c r="H32" s="62">
        <f t="shared" si="4"/>
        <v>0</v>
      </c>
      <c r="I32" s="25">
        <f t="shared" si="5"/>
        <v>0</v>
      </c>
    </row>
    <row r="33" spans="1:9" ht="17.25">
      <c r="A33" s="61"/>
      <c r="B33" s="60"/>
      <c r="C33" s="60"/>
      <c r="D33" s="60"/>
      <c r="E33" s="60"/>
      <c r="F33" s="60"/>
      <c r="G33" s="62">
        <f>B33*(E33/1000)</f>
        <v>0</v>
      </c>
      <c r="H33" s="62">
        <f t="shared" si="4"/>
        <v>0</v>
      </c>
      <c r="I33" s="25">
        <f t="shared" si="5"/>
        <v>0</v>
      </c>
    </row>
    <row r="34" spans="1:9" ht="17.25">
      <c r="A34" s="61"/>
      <c r="B34" s="60"/>
      <c r="C34" s="60"/>
      <c r="D34" s="60"/>
      <c r="E34" s="60"/>
      <c r="F34" s="60"/>
      <c r="G34" s="62">
        <f t="shared" si="3"/>
        <v>0</v>
      </c>
      <c r="H34" s="62">
        <f t="shared" si="4"/>
        <v>0</v>
      </c>
      <c r="I34" s="25">
        <f t="shared" si="5"/>
        <v>0</v>
      </c>
    </row>
    <row r="35" spans="1:9" ht="17.25">
      <c r="A35" s="63" t="s">
        <v>54</v>
      </c>
      <c r="B35" s="64"/>
      <c r="C35" s="64"/>
      <c r="D35" s="64"/>
      <c r="E35" s="56" t="str">
        <f>IF(SUM(E20:E34)=0,"",SUM(E20:E34))</f>
        <v/>
      </c>
      <c r="F35" s="56" t="str">
        <f>IF(SUM(F20:F34)=0,"",SUM(F20:F34))</f>
        <v/>
      </c>
      <c r="G35" s="56">
        <f>SUM(G20:G34)</f>
        <v>0</v>
      </c>
      <c r="H35" s="56">
        <f>SUM(H20:H34)</f>
        <v>0</v>
      </c>
      <c r="I35" s="25">
        <f>SUM(I20:I34)</f>
        <v>0</v>
      </c>
    </row>
    <row r="36" spans="1:9" ht="17.25">
      <c r="A36" s="203"/>
      <c r="B36" s="203"/>
      <c r="C36" s="203"/>
      <c r="D36" s="203"/>
      <c r="E36" s="203"/>
      <c r="F36" s="203"/>
      <c r="G36" s="203"/>
      <c r="H36" s="203"/>
      <c r="I36" s="25"/>
    </row>
    <row r="37" spans="1:9" ht="17.25">
      <c r="A37" s="61"/>
      <c r="B37" s="60"/>
      <c r="C37" s="60"/>
      <c r="D37" s="60"/>
      <c r="E37" s="60"/>
      <c r="F37" s="158">
        <f>E37*2</f>
        <v>0</v>
      </c>
      <c r="G37" s="67">
        <f>B37*(E37/1000)</f>
        <v>0</v>
      </c>
      <c r="H37" s="67">
        <f>((C37+D37)*G37)</f>
        <v>0</v>
      </c>
      <c r="I37" s="25">
        <f>D37*G37</f>
        <v>0</v>
      </c>
    </row>
    <row r="38" spans="1:9" ht="17.25">
      <c r="A38" s="61"/>
      <c r="B38" s="60"/>
      <c r="C38" s="60"/>
      <c r="D38" s="60"/>
      <c r="E38" s="60"/>
      <c r="F38" s="158">
        <f t="shared" ref="F38:F51" si="6">E38*2</f>
        <v>0</v>
      </c>
      <c r="G38" s="67">
        <f t="shared" ref="G38:G51" si="7">B38*(E38/1000)</f>
        <v>0</v>
      </c>
      <c r="H38" s="67">
        <f t="shared" ref="H38:H51" si="8">((C38+D38)*G38)</f>
        <v>0</v>
      </c>
      <c r="I38" s="25">
        <f t="shared" ref="I38:I51" si="9">D38*G38</f>
        <v>0</v>
      </c>
    </row>
    <row r="39" spans="1:9" ht="17.25">
      <c r="A39" s="65"/>
      <c r="B39" s="66"/>
      <c r="C39" s="66"/>
      <c r="D39" s="66"/>
      <c r="E39" s="66"/>
      <c r="F39" s="158">
        <f t="shared" si="6"/>
        <v>0</v>
      </c>
      <c r="G39" s="67">
        <f t="shared" si="7"/>
        <v>0</v>
      </c>
      <c r="H39" s="67">
        <f t="shared" si="8"/>
        <v>0</v>
      </c>
      <c r="I39" s="25">
        <f t="shared" si="9"/>
        <v>0</v>
      </c>
    </row>
    <row r="40" spans="1:9" ht="17.25">
      <c r="A40" s="61"/>
      <c r="B40" s="60"/>
      <c r="C40" s="60"/>
      <c r="D40" s="60"/>
      <c r="E40" s="60"/>
      <c r="F40" s="158">
        <f t="shared" si="6"/>
        <v>0</v>
      </c>
      <c r="G40" s="67">
        <f t="shared" si="7"/>
        <v>0</v>
      </c>
      <c r="H40" s="67">
        <f t="shared" si="8"/>
        <v>0</v>
      </c>
      <c r="I40" s="25">
        <f t="shared" si="9"/>
        <v>0</v>
      </c>
    </row>
    <row r="41" spans="1:9" ht="17.25">
      <c r="A41" s="61"/>
      <c r="B41" s="60"/>
      <c r="C41" s="60"/>
      <c r="D41" s="60"/>
      <c r="E41" s="60"/>
      <c r="F41" s="158">
        <f t="shared" si="6"/>
        <v>0</v>
      </c>
      <c r="G41" s="67">
        <f t="shared" si="7"/>
        <v>0</v>
      </c>
      <c r="H41" s="67">
        <f t="shared" si="8"/>
        <v>0</v>
      </c>
      <c r="I41" s="25">
        <f t="shared" si="9"/>
        <v>0</v>
      </c>
    </row>
    <row r="42" spans="1:9" ht="17.25">
      <c r="A42" s="61"/>
      <c r="B42" s="60"/>
      <c r="C42" s="60"/>
      <c r="D42" s="60"/>
      <c r="E42" s="60"/>
      <c r="F42" s="158">
        <f t="shared" si="6"/>
        <v>0</v>
      </c>
      <c r="G42" s="67">
        <f t="shared" si="7"/>
        <v>0</v>
      </c>
      <c r="H42" s="67">
        <f t="shared" si="8"/>
        <v>0</v>
      </c>
      <c r="I42" s="25">
        <f t="shared" si="9"/>
        <v>0</v>
      </c>
    </row>
    <row r="43" spans="1:9" ht="17.25">
      <c r="A43" s="61"/>
      <c r="B43" s="60"/>
      <c r="C43" s="60"/>
      <c r="D43" s="60"/>
      <c r="E43" s="60"/>
      <c r="F43" s="158">
        <f t="shared" si="6"/>
        <v>0</v>
      </c>
      <c r="G43" s="67">
        <f t="shared" si="7"/>
        <v>0</v>
      </c>
      <c r="H43" s="67">
        <f t="shared" si="8"/>
        <v>0</v>
      </c>
      <c r="I43" s="25">
        <f t="shared" si="9"/>
        <v>0</v>
      </c>
    </row>
    <row r="44" spans="1:9" ht="17.25">
      <c r="A44" s="61"/>
      <c r="B44" s="60"/>
      <c r="C44" s="60"/>
      <c r="D44" s="60"/>
      <c r="E44" s="60"/>
      <c r="F44" s="158">
        <f t="shared" si="6"/>
        <v>0</v>
      </c>
      <c r="G44" s="67">
        <f t="shared" si="7"/>
        <v>0</v>
      </c>
      <c r="H44" s="67">
        <f t="shared" si="8"/>
        <v>0</v>
      </c>
      <c r="I44" s="25">
        <f t="shared" si="9"/>
        <v>0</v>
      </c>
    </row>
    <row r="45" spans="1:9" ht="17.25">
      <c r="A45" s="61"/>
      <c r="B45" s="60"/>
      <c r="C45" s="60"/>
      <c r="D45" s="60"/>
      <c r="E45" s="60"/>
      <c r="F45" s="158">
        <f t="shared" si="6"/>
        <v>0</v>
      </c>
      <c r="G45" s="67">
        <f t="shared" si="7"/>
        <v>0</v>
      </c>
      <c r="H45" s="67">
        <f t="shared" si="8"/>
        <v>0</v>
      </c>
      <c r="I45" s="25">
        <f t="shared" si="9"/>
        <v>0</v>
      </c>
    </row>
    <row r="46" spans="1:9" ht="17.25">
      <c r="A46" s="61"/>
      <c r="B46" s="60"/>
      <c r="C46" s="60"/>
      <c r="D46" s="60"/>
      <c r="E46" s="60"/>
      <c r="F46" s="158">
        <f t="shared" si="6"/>
        <v>0</v>
      </c>
      <c r="G46" s="67">
        <f t="shared" si="7"/>
        <v>0</v>
      </c>
      <c r="H46" s="67">
        <f t="shared" si="8"/>
        <v>0</v>
      </c>
      <c r="I46" s="25">
        <f t="shared" si="9"/>
        <v>0</v>
      </c>
    </row>
    <row r="47" spans="1:9" ht="17.25">
      <c r="A47" s="61"/>
      <c r="B47" s="60"/>
      <c r="C47" s="60"/>
      <c r="D47" s="60"/>
      <c r="E47" s="60"/>
      <c r="F47" s="158">
        <f t="shared" si="6"/>
        <v>0</v>
      </c>
      <c r="G47" s="67">
        <f t="shared" si="7"/>
        <v>0</v>
      </c>
      <c r="H47" s="67">
        <f t="shared" si="8"/>
        <v>0</v>
      </c>
      <c r="I47" s="25">
        <f t="shared" si="9"/>
        <v>0</v>
      </c>
    </row>
    <row r="48" spans="1:9" ht="17.25">
      <c r="A48" s="61"/>
      <c r="B48" s="60"/>
      <c r="C48" s="60"/>
      <c r="D48" s="60"/>
      <c r="E48" s="60"/>
      <c r="F48" s="158">
        <f t="shared" si="6"/>
        <v>0</v>
      </c>
      <c r="G48" s="67">
        <f t="shared" si="7"/>
        <v>0</v>
      </c>
      <c r="H48" s="67">
        <f t="shared" si="8"/>
        <v>0</v>
      </c>
      <c r="I48" s="25">
        <f t="shared" si="9"/>
        <v>0</v>
      </c>
    </row>
    <row r="49" spans="1:9" ht="17.25">
      <c r="A49" s="61"/>
      <c r="B49" s="60"/>
      <c r="C49" s="60"/>
      <c r="D49" s="60"/>
      <c r="E49" s="60"/>
      <c r="F49" s="158">
        <f t="shared" si="6"/>
        <v>0</v>
      </c>
      <c r="G49" s="67">
        <f t="shared" si="7"/>
        <v>0</v>
      </c>
      <c r="H49" s="67">
        <f t="shared" si="8"/>
        <v>0</v>
      </c>
      <c r="I49" s="25">
        <f t="shared" si="9"/>
        <v>0</v>
      </c>
    </row>
    <row r="50" spans="1:9" ht="17.25">
      <c r="A50" s="61"/>
      <c r="B50" s="60"/>
      <c r="C50" s="60"/>
      <c r="D50" s="60"/>
      <c r="E50" s="60"/>
      <c r="F50" s="158">
        <f t="shared" si="6"/>
        <v>0</v>
      </c>
      <c r="G50" s="67">
        <f t="shared" si="7"/>
        <v>0</v>
      </c>
      <c r="H50" s="67">
        <f t="shared" si="8"/>
        <v>0</v>
      </c>
      <c r="I50" s="25">
        <f t="shared" si="9"/>
        <v>0</v>
      </c>
    </row>
    <row r="51" spans="1:9" ht="17.25">
      <c r="A51" s="61"/>
      <c r="B51" s="60"/>
      <c r="C51" s="60"/>
      <c r="D51" s="60"/>
      <c r="E51" s="60"/>
      <c r="F51" s="158">
        <f t="shared" si="6"/>
        <v>0</v>
      </c>
      <c r="G51" s="67">
        <f t="shared" si="7"/>
        <v>0</v>
      </c>
      <c r="H51" s="67">
        <f t="shared" si="8"/>
        <v>0</v>
      </c>
      <c r="I51" s="25">
        <f t="shared" si="9"/>
        <v>0</v>
      </c>
    </row>
    <row r="52" spans="1:9" ht="17.25">
      <c r="A52" s="68" t="s">
        <v>54</v>
      </c>
      <c r="B52" s="56"/>
      <c r="C52" s="56"/>
      <c r="D52" s="56"/>
      <c r="E52" s="56" t="str">
        <f>IF(SUM(E37:E51)=0,"",SUM(E37:E51))</f>
        <v/>
      </c>
      <c r="F52" s="56" t="str">
        <f>IF(SUM(F37:F51)=0,"",SUM(F37:F51))</f>
        <v/>
      </c>
      <c r="G52" s="56">
        <f>SUM(G37:G51)</f>
        <v>0</v>
      </c>
      <c r="H52" s="56">
        <f>SUM(H37:H51)</f>
        <v>0</v>
      </c>
      <c r="I52" s="25">
        <f>SUM(I37:I51)</f>
        <v>0</v>
      </c>
    </row>
    <row r="53" spans="1:9" ht="17.25">
      <c r="A53" s="203" t="s">
        <v>306</v>
      </c>
      <c r="B53" s="190"/>
      <c r="C53" s="234">
        <v>24</v>
      </c>
      <c r="D53" s="235" t="s">
        <v>316</v>
      </c>
      <c r="E53" s="53">
        <f>B53</f>
        <v>0</v>
      </c>
      <c r="F53" s="204"/>
      <c r="G53" s="53">
        <f>IFERROR(E53/1000,"")</f>
        <v>0</v>
      </c>
      <c r="H53" s="53">
        <f>IFERROR(G53*C53*B53,"")</f>
        <v>0</v>
      </c>
      <c r="I53" s="25">
        <f>B53*(C53/2)*G53</f>
        <v>0</v>
      </c>
    </row>
    <row r="54" spans="1:9" ht="30.75" customHeight="1">
      <c r="A54" s="69" t="s">
        <v>60</v>
      </c>
      <c r="B54" s="69"/>
      <c r="C54" s="69"/>
      <c r="D54" s="69"/>
      <c r="E54" s="69" t="str">
        <f>IFERROR(E18+E35+E52+E53,"")</f>
        <v/>
      </c>
      <c r="F54" s="69" t="str">
        <f>IFERROR(F18+F35+F52,"")</f>
        <v/>
      </c>
      <c r="G54" s="69">
        <f>IFERROR(IF(G18="",G35+G52+G53,IF(G35="",G18+G52+G53,IF(G52="",G18+G35+G53,IF(G53="",G18+G35+G52,IF(G52+G53="",G18+G35,IF(G35+G52="",G18+G53,IF(G18+G52="",G35+G53,IF(G18+G53="",G35+G52,IF(G18+G35="",G52+G53,IF(G35+G53="",G18+G52,IF(G18+G35+G52="",G53,IF(G35+G52+G53="",G18,IF(G52+G53+G18="",G35,G18+G35+G52+G53))))))))))))),"")</f>
        <v>11.915999999999999</v>
      </c>
      <c r="H54" s="69">
        <f>IFERROR(IF(H18="",H35+H52+H53,IF(H35="",H18+H52+H53,IF(H52="",H18+H35+H53,IF(H53="",H18+H35+H52,IF(H52+H53="",H18+H35,IF(H35+H52="",H18+H53,IF(H18+H52="",H35+H53,IF(H18+H53="",H35+H52,IF(H18+H35="",H52+H53,IF(H35+H53="",H18+H52,IF(H18+H35+H52="",H53,IF(H35+H52+H53="",H18,IF(H52+H53+H18="",H35,H18+H35+H52+H53))))))))))))),"")</f>
        <v>33.679999999999993</v>
      </c>
      <c r="I54" s="236">
        <f>((I53+I52+I35+I18)*1000)+I56</f>
        <v>465.11999999999995</v>
      </c>
    </row>
    <row r="55" spans="1:9" ht="17.25">
      <c r="A55" s="203"/>
      <c r="B55" s="203"/>
      <c r="C55" s="203"/>
      <c r="D55" s="203"/>
      <c r="E55" s="203"/>
      <c r="F55" s="203"/>
      <c r="G55" s="70" t="s">
        <v>61</v>
      </c>
      <c r="H55" s="71">
        <f>IFERROR(H54*7,"")</f>
        <v>235.75999999999993</v>
      </c>
      <c r="I55" s="25">
        <f>((I53+I52+I35+I18)*1000)</f>
        <v>455.99999999999994</v>
      </c>
    </row>
    <row r="56" spans="1:9" ht="17.25">
      <c r="A56" s="203"/>
      <c r="B56" s="203"/>
      <c r="C56" s="203"/>
      <c r="D56" s="203"/>
      <c r="E56" s="203"/>
      <c r="F56" s="203"/>
      <c r="G56" s="70" t="s">
        <v>62</v>
      </c>
      <c r="H56" s="71">
        <f>IFERROR(H54*30,"")</f>
        <v>1010.3999999999997</v>
      </c>
      <c r="I56" s="25">
        <f>I55*'Système PV'!$D$3%</f>
        <v>9.1199999999999992</v>
      </c>
    </row>
    <row r="57" spans="1:9" ht="17.25">
      <c r="A57" s="203"/>
      <c r="B57" s="203"/>
      <c r="C57" s="203"/>
      <c r="D57" s="203"/>
      <c r="E57" s="203"/>
      <c r="F57" s="203"/>
      <c r="G57" s="70" t="s">
        <v>63</v>
      </c>
      <c r="H57" s="71">
        <f>IFERROR(H54*360,"")</f>
        <v>12124.799999999997</v>
      </c>
      <c r="I57" s="25"/>
    </row>
    <row r="58" spans="1:9" ht="17.25">
      <c r="A58" s="205" t="s">
        <v>210</v>
      </c>
    </row>
    <row r="64" spans="1:9">
      <c r="G64" s="206" t="s">
        <v>64</v>
      </c>
    </row>
  </sheetData>
  <sheetProtection password="DEB3" sheet="1" objects="1" scenarios="1"/>
  <dataValidations count="1">
    <dataValidation type="list" allowBlank="1" showInputMessage="1" showErrorMessage="1" sqref="B53">
      <formula1>"0,1"</formula1>
    </dataValidation>
  </dataValidations>
  <pageMargins left="0.7" right="0.7" top="0.75" bottom="0.75" header="0.3" footer="0.3"/>
  <pageSetup paperSize="9" orientation="portrait" horizontalDpi="300" verticalDpi="300" r:id="rId1"/>
  <drawing r:id="rId2"/>
  <picture r:id="rId3"/>
</worksheet>
</file>

<file path=xl/worksheets/sheet3.xml><?xml version="1.0" encoding="utf-8"?>
<worksheet xmlns="http://schemas.openxmlformats.org/spreadsheetml/2006/main" xmlns:r="http://schemas.openxmlformats.org/officeDocument/2006/relationships">
  <sheetPr codeName="Feuil4">
    <tabColor rgb="FF92D050"/>
  </sheetPr>
  <dimension ref="A1:M85"/>
  <sheetViews>
    <sheetView zoomScale="87" zoomScaleNormal="87" workbookViewId="0">
      <pane ySplit="1" topLeftCell="A2" activePane="bottomLeft" state="frozen"/>
      <selection activeCell="P16" sqref="P16"/>
      <selection pane="bottomLeft" activeCell="G11" sqref="G11"/>
    </sheetView>
  </sheetViews>
  <sheetFormatPr baseColWidth="10" defaultColWidth="11.42578125" defaultRowHeight="15.75"/>
  <cols>
    <col min="1" max="1" width="32.5703125" style="33" customWidth="1"/>
    <col min="2" max="2" width="20.140625" style="33" customWidth="1"/>
    <col min="3" max="3" width="20.5703125" style="33" customWidth="1"/>
    <col min="4" max="4" width="36.7109375" style="33" bestFit="1" customWidth="1"/>
    <col min="5" max="6" width="20.85546875" style="33" customWidth="1"/>
    <col min="7" max="7" width="18.42578125" style="33" customWidth="1"/>
    <col min="8" max="16384" width="11.42578125" style="33"/>
  </cols>
  <sheetData>
    <row r="1" spans="1:13" ht="76.5" customHeight="1">
      <c r="H1" s="34"/>
      <c r="I1" s="34"/>
      <c r="J1" s="34"/>
      <c r="K1" s="34"/>
      <c r="L1" s="34"/>
      <c r="M1" s="34"/>
    </row>
    <row r="2" spans="1:13" ht="21" customHeight="1" thickBot="1">
      <c r="H2" s="34"/>
      <c r="I2" s="34"/>
      <c r="J2" s="34"/>
      <c r="K2" s="34"/>
      <c r="L2" s="34"/>
      <c r="M2" s="34"/>
    </row>
    <row r="3" spans="1:13" ht="18.75" thickTop="1" thickBot="1">
      <c r="A3" s="45" t="s">
        <v>137</v>
      </c>
      <c r="B3" s="46">
        <v>1000</v>
      </c>
      <c r="C3" s="47">
        <v>75</v>
      </c>
      <c r="D3" s="48" t="s">
        <v>141</v>
      </c>
      <c r="E3" s="48">
        <v>50000</v>
      </c>
      <c r="F3" s="48">
        <v>12</v>
      </c>
      <c r="G3" s="48">
        <f t="shared" ref="G3:G34" si="0">ROUNDUP(100-((F3/C3)*100),0)</f>
        <v>84</v>
      </c>
      <c r="H3" s="34"/>
      <c r="I3" s="34"/>
      <c r="J3" s="34"/>
      <c r="K3" s="34"/>
      <c r="L3" s="34"/>
      <c r="M3" s="34"/>
    </row>
    <row r="4" spans="1:13" ht="18.75" thickTop="1" thickBot="1">
      <c r="A4" s="45" t="s">
        <v>137</v>
      </c>
      <c r="B4" s="46">
        <v>1000</v>
      </c>
      <c r="C4" s="47">
        <v>100</v>
      </c>
      <c r="D4" s="48" t="s">
        <v>141</v>
      </c>
      <c r="E4" s="48">
        <v>50000</v>
      </c>
      <c r="F4" s="48">
        <v>14</v>
      </c>
      <c r="G4" s="48">
        <f t="shared" si="0"/>
        <v>86</v>
      </c>
      <c r="H4" s="34"/>
      <c r="I4" s="34"/>
      <c r="J4" s="34"/>
      <c r="K4" s="34"/>
      <c r="L4" s="34"/>
      <c r="M4" s="34"/>
    </row>
    <row r="5" spans="1:13" ht="18.75" thickTop="1" thickBot="1">
      <c r="A5" s="45" t="s">
        <v>139</v>
      </c>
      <c r="B5" s="46">
        <v>2000</v>
      </c>
      <c r="C5" s="47">
        <v>35</v>
      </c>
      <c r="D5" s="48" t="s">
        <v>140</v>
      </c>
      <c r="E5" s="48">
        <v>50000</v>
      </c>
      <c r="F5" s="48">
        <v>6</v>
      </c>
      <c r="G5" s="48">
        <f t="shared" si="0"/>
        <v>83</v>
      </c>
      <c r="H5" s="34"/>
      <c r="I5" s="34"/>
      <c r="J5" s="34"/>
      <c r="K5" s="34"/>
      <c r="L5" s="34"/>
      <c r="M5" s="34"/>
    </row>
    <row r="6" spans="1:13" ht="18.75" thickTop="1" thickBot="1">
      <c r="A6" s="45" t="s">
        <v>139</v>
      </c>
      <c r="B6" s="46">
        <v>2000</v>
      </c>
      <c r="C6" s="47">
        <v>25</v>
      </c>
      <c r="D6" s="48" t="s">
        <v>138</v>
      </c>
      <c r="E6" s="48">
        <v>50000</v>
      </c>
      <c r="F6" s="48">
        <v>3</v>
      </c>
      <c r="G6" s="48">
        <f t="shared" si="0"/>
        <v>88</v>
      </c>
      <c r="H6" s="34"/>
      <c r="I6" s="34"/>
      <c r="J6" s="34"/>
      <c r="K6" s="34"/>
      <c r="L6" s="34"/>
      <c r="M6" s="34"/>
    </row>
    <row r="7" spans="1:13" ht="18.75" thickTop="1" thickBot="1">
      <c r="A7" s="45" t="s">
        <v>139</v>
      </c>
      <c r="B7" s="46">
        <v>2000</v>
      </c>
      <c r="C7" s="47">
        <v>42</v>
      </c>
      <c r="D7" s="48" t="s">
        <v>138</v>
      </c>
      <c r="E7" s="48">
        <v>50000</v>
      </c>
      <c r="F7" s="48">
        <v>6</v>
      </c>
      <c r="G7" s="48">
        <f t="shared" si="0"/>
        <v>86</v>
      </c>
      <c r="H7" s="34"/>
      <c r="I7" s="34"/>
      <c r="J7" s="34"/>
      <c r="K7" s="34"/>
      <c r="L7" s="34"/>
      <c r="M7" s="34"/>
    </row>
    <row r="8" spans="1:13" ht="18.75" thickTop="1" thickBot="1">
      <c r="A8" s="45" t="s">
        <v>139</v>
      </c>
      <c r="B8" s="46">
        <v>2000</v>
      </c>
      <c r="C8" s="47">
        <v>70</v>
      </c>
      <c r="D8" s="48" t="s">
        <v>138</v>
      </c>
      <c r="E8" s="48">
        <v>50000</v>
      </c>
      <c r="F8" s="48">
        <v>12</v>
      </c>
      <c r="G8" s="48">
        <f t="shared" si="0"/>
        <v>83</v>
      </c>
      <c r="H8" s="34"/>
      <c r="I8" s="34"/>
      <c r="J8" s="34"/>
      <c r="K8" s="34"/>
      <c r="L8" s="34"/>
      <c r="M8" s="34"/>
    </row>
    <row r="9" spans="1:13" ht="18.75" thickTop="1" thickBot="1">
      <c r="A9" s="45" t="s">
        <v>142</v>
      </c>
      <c r="B9" s="46">
        <v>2000</v>
      </c>
      <c r="C9" s="47">
        <v>60</v>
      </c>
      <c r="D9" s="48" t="s">
        <v>143</v>
      </c>
      <c r="E9" s="48">
        <v>50000</v>
      </c>
      <c r="F9" s="48">
        <v>11</v>
      </c>
      <c r="G9" s="48">
        <f t="shared" si="0"/>
        <v>82</v>
      </c>
      <c r="H9" s="34"/>
      <c r="I9" s="34"/>
      <c r="J9" s="34"/>
      <c r="K9" s="34"/>
      <c r="L9" s="34"/>
      <c r="M9" s="34"/>
    </row>
    <row r="10" spans="1:13" ht="18.75" thickTop="1" thickBot="1">
      <c r="A10" s="45" t="s">
        <v>144</v>
      </c>
      <c r="B10" s="46">
        <v>10000</v>
      </c>
      <c r="C10" s="47">
        <v>18</v>
      </c>
      <c r="D10" s="48" t="s">
        <v>147</v>
      </c>
      <c r="E10" s="48">
        <v>50000</v>
      </c>
      <c r="F10" s="48">
        <v>9</v>
      </c>
      <c r="G10" s="48">
        <f t="shared" si="0"/>
        <v>50</v>
      </c>
      <c r="H10" s="34"/>
      <c r="I10" s="34"/>
      <c r="J10" s="34"/>
      <c r="K10" s="34"/>
      <c r="L10" s="34"/>
      <c r="M10" s="34"/>
    </row>
    <row r="11" spans="1:13" ht="18.75" thickTop="1" thickBot="1">
      <c r="A11" s="45" t="s">
        <v>145</v>
      </c>
      <c r="B11" s="46">
        <v>10000</v>
      </c>
      <c r="C11" s="47">
        <v>36</v>
      </c>
      <c r="D11" s="48" t="s">
        <v>148</v>
      </c>
      <c r="E11" s="48">
        <v>50000</v>
      </c>
      <c r="F11" s="48">
        <v>18</v>
      </c>
      <c r="G11" s="48">
        <f t="shared" si="0"/>
        <v>50</v>
      </c>
      <c r="H11" s="34"/>
      <c r="I11" s="34"/>
      <c r="J11" s="34"/>
      <c r="K11" s="34"/>
      <c r="L11" s="34"/>
      <c r="M11" s="34"/>
    </row>
    <row r="12" spans="1:13" ht="18.75" thickTop="1" thickBot="1">
      <c r="A12" s="45" t="s">
        <v>146</v>
      </c>
      <c r="B12" s="46">
        <v>10000</v>
      </c>
      <c r="C12" s="47">
        <v>55</v>
      </c>
      <c r="D12" s="48" t="s">
        <v>149</v>
      </c>
      <c r="E12" s="48">
        <v>50000</v>
      </c>
      <c r="F12" s="48">
        <v>22</v>
      </c>
      <c r="G12" s="48">
        <f t="shared" si="0"/>
        <v>60</v>
      </c>
      <c r="H12" s="34"/>
      <c r="I12" s="34"/>
      <c r="J12" s="34"/>
      <c r="K12" s="34"/>
      <c r="L12" s="34"/>
      <c r="M12" s="34"/>
    </row>
    <row r="13" spans="1:13" ht="18.75" thickTop="1" thickBot="1">
      <c r="A13" s="45" t="s">
        <v>150</v>
      </c>
      <c r="B13" s="46">
        <v>10000</v>
      </c>
      <c r="C13" s="47">
        <v>85</v>
      </c>
      <c r="D13" s="48" t="s">
        <v>151</v>
      </c>
      <c r="E13" s="48">
        <v>50000</v>
      </c>
      <c r="F13" s="48">
        <v>46</v>
      </c>
      <c r="G13" s="48">
        <f t="shared" si="0"/>
        <v>46</v>
      </c>
      <c r="H13" s="34"/>
      <c r="I13" s="34"/>
      <c r="J13" s="34"/>
      <c r="K13" s="34"/>
      <c r="L13" s="34"/>
      <c r="M13" s="34"/>
    </row>
    <row r="14" spans="1:13" ht="18.75" thickTop="1" thickBot="1">
      <c r="A14" s="45" t="s">
        <v>152</v>
      </c>
      <c r="B14" s="46">
        <v>10000</v>
      </c>
      <c r="C14" s="47">
        <v>133</v>
      </c>
      <c r="D14" s="48" t="s">
        <v>153</v>
      </c>
      <c r="E14" s="48">
        <v>50000</v>
      </c>
      <c r="F14" s="48">
        <v>75</v>
      </c>
      <c r="G14" s="48">
        <f t="shared" si="0"/>
        <v>44</v>
      </c>
      <c r="H14" s="34"/>
      <c r="I14" s="34"/>
      <c r="J14" s="34"/>
      <c r="K14" s="34"/>
      <c r="L14" s="34"/>
      <c r="M14" s="34"/>
    </row>
    <row r="15" spans="1:13" ht="18.75" thickTop="1" thickBot="1">
      <c r="A15" s="45" t="s">
        <v>154</v>
      </c>
      <c r="B15" s="46">
        <v>10000</v>
      </c>
      <c r="C15" s="47">
        <v>83</v>
      </c>
      <c r="D15" s="48" t="s">
        <v>157</v>
      </c>
      <c r="E15" s="48">
        <v>50000</v>
      </c>
      <c r="F15" s="48">
        <v>55</v>
      </c>
      <c r="G15" s="48">
        <f t="shared" si="0"/>
        <v>34</v>
      </c>
      <c r="H15" s="34"/>
      <c r="I15" s="34"/>
      <c r="J15" s="34"/>
      <c r="K15" s="34"/>
      <c r="L15" s="34"/>
      <c r="M15" s="34"/>
    </row>
    <row r="16" spans="1:13" ht="18.75" thickTop="1" thickBot="1">
      <c r="A16" s="45" t="s">
        <v>155</v>
      </c>
      <c r="B16" s="46">
        <v>10000</v>
      </c>
      <c r="C16" s="47">
        <v>62</v>
      </c>
      <c r="D16" s="48" t="s">
        <v>157</v>
      </c>
      <c r="E16" s="48">
        <v>50000</v>
      </c>
      <c r="F16" s="48">
        <v>36</v>
      </c>
      <c r="G16" s="48">
        <f t="shared" si="0"/>
        <v>42</v>
      </c>
      <c r="H16" s="34"/>
      <c r="I16" s="34"/>
      <c r="J16" s="34"/>
      <c r="K16" s="34"/>
      <c r="L16" s="34"/>
      <c r="M16" s="34"/>
    </row>
    <row r="17" spans="1:13" ht="18.75" thickTop="1" thickBot="1">
      <c r="A17" s="45" t="s">
        <v>154</v>
      </c>
      <c r="B17" s="46">
        <v>10000</v>
      </c>
      <c r="C17" s="47">
        <v>83</v>
      </c>
      <c r="D17" s="48" t="s">
        <v>157</v>
      </c>
      <c r="E17" s="48">
        <v>50000</v>
      </c>
      <c r="F17" s="48">
        <v>45</v>
      </c>
      <c r="G17" s="48">
        <f t="shared" si="0"/>
        <v>46</v>
      </c>
      <c r="H17" s="34"/>
      <c r="I17" s="34"/>
      <c r="J17" s="34"/>
      <c r="K17" s="34"/>
      <c r="L17" s="34"/>
      <c r="M17" s="34"/>
    </row>
    <row r="18" spans="1:13" ht="18.75" thickTop="1" thickBot="1">
      <c r="A18" s="45" t="s">
        <v>156</v>
      </c>
      <c r="B18" s="46">
        <v>10000</v>
      </c>
      <c r="C18" s="47">
        <v>64</v>
      </c>
      <c r="D18" s="48" t="s">
        <v>157</v>
      </c>
      <c r="E18" s="48">
        <v>50000</v>
      </c>
      <c r="F18" s="48">
        <v>40</v>
      </c>
      <c r="G18" s="48">
        <f t="shared" si="0"/>
        <v>38</v>
      </c>
      <c r="H18" s="34"/>
      <c r="I18" s="34"/>
      <c r="J18" s="34"/>
      <c r="K18" s="34"/>
      <c r="L18" s="34"/>
      <c r="M18" s="34"/>
    </row>
    <row r="19" spans="1:13" ht="18.75" thickTop="1" thickBot="1">
      <c r="A19" s="45" t="s">
        <v>158</v>
      </c>
      <c r="B19" s="46">
        <v>8000</v>
      </c>
      <c r="C19" s="47">
        <v>25</v>
      </c>
      <c r="D19" s="48" t="s">
        <v>162</v>
      </c>
      <c r="E19" s="48">
        <v>50000</v>
      </c>
      <c r="F19" s="48">
        <v>11</v>
      </c>
      <c r="G19" s="48">
        <f t="shared" si="0"/>
        <v>56</v>
      </c>
      <c r="H19" s="34"/>
      <c r="I19" s="34"/>
      <c r="J19" s="34"/>
      <c r="K19" s="34"/>
      <c r="L19" s="34"/>
      <c r="M19" s="34"/>
    </row>
    <row r="20" spans="1:13" ht="18.75" thickTop="1" thickBot="1">
      <c r="A20" s="45" t="s">
        <v>159</v>
      </c>
      <c r="B20" s="46">
        <v>8000</v>
      </c>
      <c r="C20" s="47">
        <v>50</v>
      </c>
      <c r="D20" s="48" t="s">
        <v>162</v>
      </c>
      <c r="E20" s="48">
        <v>50000</v>
      </c>
      <c r="F20" s="48">
        <v>22</v>
      </c>
      <c r="G20" s="48">
        <f t="shared" si="0"/>
        <v>56</v>
      </c>
      <c r="H20" s="34"/>
      <c r="I20" s="34"/>
      <c r="J20" s="34"/>
      <c r="K20" s="34"/>
      <c r="L20" s="34"/>
      <c r="M20" s="34"/>
    </row>
    <row r="21" spans="1:13" ht="18.75" thickTop="1" thickBot="1">
      <c r="A21" s="45" t="s">
        <v>160</v>
      </c>
      <c r="B21" s="46">
        <v>8000</v>
      </c>
      <c r="C21" s="47">
        <v>92</v>
      </c>
      <c r="D21" s="48" t="s">
        <v>162</v>
      </c>
      <c r="E21" s="48">
        <v>50000</v>
      </c>
      <c r="F21" s="48">
        <v>45</v>
      </c>
      <c r="G21" s="48">
        <f t="shared" si="0"/>
        <v>52</v>
      </c>
      <c r="H21" s="34"/>
      <c r="I21" s="34"/>
      <c r="J21" s="34"/>
      <c r="K21" s="34"/>
      <c r="L21" s="34"/>
      <c r="M21" s="34"/>
    </row>
    <row r="22" spans="1:13" ht="18.75" thickTop="1" thickBot="1">
      <c r="A22" s="45" t="s">
        <v>161</v>
      </c>
      <c r="B22" s="46">
        <v>8000</v>
      </c>
      <c r="C22" s="47">
        <v>121</v>
      </c>
      <c r="D22" s="48" t="s">
        <v>162</v>
      </c>
      <c r="E22" s="48">
        <v>50000</v>
      </c>
      <c r="F22" s="48">
        <v>67</v>
      </c>
      <c r="G22" s="48">
        <f t="shared" si="0"/>
        <v>45</v>
      </c>
      <c r="H22" s="34"/>
      <c r="I22" s="34"/>
      <c r="J22" s="34"/>
      <c r="K22" s="34"/>
      <c r="L22" s="34"/>
      <c r="M22" s="34"/>
    </row>
    <row r="23" spans="1:13" ht="18.75" thickTop="1" thickBot="1">
      <c r="A23" s="45" t="s">
        <v>163</v>
      </c>
      <c r="B23" s="46">
        <v>8000</v>
      </c>
      <c r="C23" s="47">
        <v>17</v>
      </c>
      <c r="D23" s="48" t="s">
        <v>162</v>
      </c>
      <c r="E23" s="48">
        <v>50000</v>
      </c>
      <c r="F23" s="48">
        <v>7</v>
      </c>
      <c r="G23" s="48">
        <f t="shared" si="0"/>
        <v>59</v>
      </c>
      <c r="H23" s="34"/>
      <c r="I23" s="34"/>
      <c r="J23" s="34"/>
      <c r="K23" s="34"/>
      <c r="L23" s="34"/>
      <c r="M23" s="34"/>
    </row>
    <row r="24" spans="1:13" ht="18.75" thickTop="1" thickBot="1">
      <c r="A24" s="45" t="s">
        <v>164</v>
      </c>
      <c r="B24" s="46">
        <v>8000</v>
      </c>
      <c r="C24" s="47">
        <v>35</v>
      </c>
      <c r="D24" s="48" t="s">
        <v>162</v>
      </c>
      <c r="E24" s="48">
        <v>50000</v>
      </c>
      <c r="F24" s="48">
        <v>14</v>
      </c>
      <c r="G24" s="48">
        <f t="shared" si="0"/>
        <v>60</v>
      </c>
      <c r="H24" s="34"/>
      <c r="I24" s="34"/>
      <c r="J24" s="34"/>
      <c r="K24" s="34"/>
      <c r="L24" s="34"/>
      <c r="M24" s="34"/>
    </row>
    <row r="25" spans="1:13" ht="18.75" thickTop="1" thickBot="1">
      <c r="A25" s="45" t="s">
        <v>159</v>
      </c>
      <c r="B25" s="46">
        <v>8000</v>
      </c>
      <c r="C25" s="47">
        <v>51</v>
      </c>
      <c r="D25" s="48" t="s">
        <v>162</v>
      </c>
      <c r="E25" s="48">
        <v>50000</v>
      </c>
      <c r="F25" s="48">
        <v>21</v>
      </c>
      <c r="G25" s="48">
        <f t="shared" si="0"/>
        <v>59</v>
      </c>
      <c r="H25" s="34"/>
      <c r="I25" s="34"/>
      <c r="J25" s="34"/>
      <c r="K25" s="34"/>
      <c r="L25" s="34"/>
      <c r="M25" s="34"/>
    </row>
    <row r="26" spans="1:13" ht="18.75" thickTop="1" thickBot="1">
      <c r="A26" s="45" t="s">
        <v>164</v>
      </c>
      <c r="B26" s="46">
        <v>8000</v>
      </c>
      <c r="C26" s="47">
        <v>35</v>
      </c>
      <c r="D26" s="48" t="s">
        <v>162</v>
      </c>
      <c r="E26" s="48">
        <v>50000</v>
      </c>
      <c r="F26" s="48">
        <v>12</v>
      </c>
      <c r="G26" s="48">
        <f t="shared" si="0"/>
        <v>66</v>
      </c>
      <c r="H26" s="34"/>
      <c r="I26" s="34"/>
      <c r="J26" s="34"/>
      <c r="K26" s="34"/>
      <c r="L26" s="34"/>
      <c r="M26" s="34"/>
    </row>
    <row r="27" spans="1:13" ht="18.75" thickTop="1" thickBot="1">
      <c r="A27" s="45" t="s">
        <v>159</v>
      </c>
      <c r="B27" s="46">
        <v>8000</v>
      </c>
      <c r="C27" s="47">
        <v>51</v>
      </c>
      <c r="D27" s="48" t="s">
        <v>162</v>
      </c>
      <c r="E27" s="48">
        <v>50000</v>
      </c>
      <c r="F27" s="48">
        <v>18</v>
      </c>
      <c r="G27" s="48">
        <f t="shared" si="0"/>
        <v>65</v>
      </c>
      <c r="H27" s="34"/>
      <c r="I27" s="34"/>
      <c r="J27" s="34"/>
      <c r="K27" s="34"/>
      <c r="L27" s="34"/>
      <c r="M27" s="34"/>
    </row>
    <row r="28" spans="1:13" ht="18.75" thickTop="1" thickBot="1">
      <c r="A28" s="45" t="s">
        <v>165</v>
      </c>
      <c r="B28" s="46">
        <v>2000</v>
      </c>
      <c r="C28" s="47">
        <v>50</v>
      </c>
      <c r="D28" s="48" t="s">
        <v>162</v>
      </c>
      <c r="E28" s="48">
        <v>50000</v>
      </c>
      <c r="F28" s="48">
        <v>11</v>
      </c>
      <c r="G28" s="48">
        <f t="shared" si="0"/>
        <v>78</v>
      </c>
      <c r="H28" s="34"/>
      <c r="I28" s="34"/>
      <c r="J28" s="34"/>
      <c r="K28" s="34"/>
      <c r="L28" s="34"/>
      <c r="M28" s="34"/>
    </row>
    <row r="29" spans="1:13" ht="18.75" thickTop="1" thickBot="1">
      <c r="A29" s="45" t="s">
        <v>166</v>
      </c>
      <c r="B29" s="46">
        <v>8000</v>
      </c>
      <c r="C29" s="47">
        <v>43</v>
      </c>
      <c r="D29" s="48" t="s">
        <v>167</v>
      </c>
      <c r="E29" s="48">
        <v>50000</v>
      </c>
      <c r="F29" s="48">
        <v>20</v>
      </c>
      <c r="G29" s="48">
        <f t="shared" si="0"/>
        <v>54</v>
      </c>
      <c r="H29" s="34"/>
      <c r="I29" s="34"/>
      <c r="J29" s="34"/>
      <c r="K29" s="34"/>
      <c r="L29" s="34"/>
      <c r="M29" s="34"/>
    </row>
    <row r="30" spans="1:13" ht="18.75" thickTop="1" thickBot="1">
      <c r="A30" s="45" t="s">
        <v>166</v>
      </c>
      <c r="B30" s="46">
        <v>8000</v>
      </c>
      <c r="C30" s="47">
        <v>80</v>
      </c>
      <c r="D30" s="48" t="s">
        <v>167</v>
      </c>
      <c r="E30" s="48">
        <v>50000</v>
      </c>
      <c r="F30" s="48">
        <v>31</v>
      </c>
      <c r="G30" s="48">
        <f t="shared" si="0"/>
        <v>62</v>
      </c>
      <c r="H30" s="34"/>
      <c r="I30" s="34"/>
      <c r="J30" s="34"/>
      <c r="K30" s="34"/>
      <c r="L30" s="34"/>
      <c r="M30" s="34"/>
    </row>
    <row r="31" spans="1:13" ht="18.75" thickTop="1" thickBot="1">
      <c r="A31" s="45" t="s">
        <v>166</v>
      </c>
      <c r="B31" s="46">
        <v>8000</v>
      </c>
      <c r="C31" s="47">
        <v>167</v>
      </c>
      <c r="D31" s="48" t="s">
        <v>167</v>
      </c>
      <c r="E31" s="48">
        <v>50000</v>
      </c>
      <c r="F31" s="48">
        <v>55</v>
      </c>
      <c r="G31" s="48">
        <f t="shared" si="0"/>
        <v>68</v>
      </c>
      <c r="H31" s="34"/>
      <c r="I31" s="34"/>
      <c r="J31" s="34"/>
      <c r="K31" s="34"/>
      <c r="L31" s="34"/>
      <c r="M31" s="34"/>
    </row>
    <row r="32" spans="1:13" ht="18.75" thickTop="1" thickBot="1">
      <c r="A32" s="49" t="s">
        <v>168</v>
      </c>
      <c r="B32" s="46">
        <v>8000</v>
      </c>
      <c r="C32" s="47">
        <v>38</v>
      </c>
      <c r="D32" s="48" t="s">
        <v>170</v>
      </c>
      <c r="E32" s="48">
        <v>50000</v>
      </c>
      <c r="F32" s="48">
        <v>20</v>
      </c>
      <c r="G32" s="48">
        <f t="shared" si="0"/>
        <v>48</v>
      </c>
      <c r="H32" s="34"/>
      <c r="I32" s="34"/>
      <c r="J32" s="34"/>
      <c r="K32" s="34"/>
      <c r="L32" s="34"/>
      <c r="M32" s="34"/>
    </row>
    <row r="33" spans="1:13" ht="18.75" thickTop="1" thickBot="1">
      <c r="A33" s="49" t="s">
        <v>169</v>
      </c>
      <c r="B33" s="46">
        <v>8000</v>
      </c>
      <c r="C33" s="47">
        <v>56</v>
      </c>
      <c r="D33" s="48" t="s">
        <v>170</v>
      </c>
      <c r="E33" s="48">
        <v>50000</v>
      </c>
      <c r="F33" s="48">
        <v>24</v>
      </c>
      <c r="G33" s="48">
        <f t="shared" si="0"/>
        <v>58</v>
      </c>
      <c r="H33" s="34"/>
      <c r="I33" s="34"/>
      <c r="J33" s="34"/>
      <c r="K33" s="34"/>
      <c r="L33" s="34"/>
      <c r="M33" s="34"/>
    </row>
    <row r="34" spans="1:13" ht="18.75" thickTop="1" thickBot="1">
      <c r="A34" s="49" t="s">
        <v>171</v>
      </c>
      <c r="B34" s="46">
        <v>10000</v>
      </c>
      <c r="C34" s="47">
        <v>36</v>
      </c>
      <c r="D34" s="48" t="s">
        <v>174</v>
      </c>
      <c r="E34" s="48">
        <v>50000</v>
      </c>
      <c r="F34" s="48">
        <v>23</v>
      </c>
      <c r="G34" s="48">
        <f t="shared" si="0"/>
        <v>37</v>
      </c>
      <c r="H34" s="34"/>
      <c r="I34" s="34"/>
      <c r="J34" s="34"/>
      <c r="K34" s="34"/>
      <c r="L34" s="34"/>
      <c r="M34" s="34"/>
    </row>
    <row r="35" spans="1:13" ht="18.75" thickTop="1" thickBot="1">
      <c r="A35" s="49" t="s">
        <v>172</v>
      </c>
      <c r="B35" s="46">
        <v>10000</v>
      </c>
      <c r="C35" s="47">
        <v>75</v>
      </c>
      <c r="D35" s="48" t="s">
        <v>174</v>
      </c>
      <c r="E35" s="48">
        <v>50000</v>
      </c>
      <c r="F35" s="48">
        <v>46</v>
      </c>
      <c r="G35" s="48">
        <f t="shared" ref="G35:G62" si="1">ROUNDUP(100-((F35/C35)*100),0)</f>
        <v>39</v>
      </c>
      <c r="H35" s="34"/>
      <c r="I35" s="34"/>
      <c r="J35" s="34"/>
      <c r="K35" s="34"/>
      <c r="L35" s="34"/>
      <c r="M35" s="34"/>
    </row>
    <row r="36" spans="1:13" ht="18.75" thickTop="1" thickBot="1">
      <c r="A36" s="49" t="s">
        <v>173</v>
      </c>
      <c r="B36" s="46">
        <v>10000</v>
      </c>
      <c r="C36" s="47">
        <v>118</v>
      </c>
      <c r="D36" s="48" t="s">
        <v>174</v>
      </c>
      <c r="E36" s="48">
        <v>50000</v>
      </c>
      <c r="F36" s="48">
        <v>69</v>
      </c>
      <c r="G36" s="48">
        <f t="shared" si="1"/>
        <v>42</v>
      </c>
      <c r="H36" s="34"/>
      <c r="I36" s="34"/>
      <c r="J36" s="34"/>
      <c r="K36" s="34"/>
      <c r="L36" s="34"/>
      <c r="M36" s="34"/>
    </row>
    <row r="37" spans="1:13" ht="18.75" thickTop="1" thickBot="1">
      <c r="A37" s="49" t="s">
        <v>175</v>
      </c>
      <c r="B37" s="46">
        <v>2000</v>
      </c>
      <c r="C37" s="47">
        <v>150</v>
      </c>
      <c r="D37" s="48" t="s">
        <v>176</v>
      </c>
      <c r="E37" s="48">
        <v>50000</v>
      </c>
      <c r="F37" s="48">
        <v>33</v>
      </c>
      <c r="G37" s="48">
        <f t="shared" si="1"/>
        <v>78</v>
      </c>
      <c r="H37" s="34"/>
      <c r="I37" s="34"/>
      <c r="J37" s="34"/>
      <c r="K37" s="34"/>
      <c r="L37" s="34"/>
      <c r="M37" s="34"/>
    </row>
    <row r="38" spans="1:13" ht="18.75" thickTop="1" thickBot="1">
      <c r="A38" s="49" t="s">
        <v>175</v>
      </c>
      <c r="B38" s="46">
        <v>2000</v>
      </c>
      <c r="C38" s="47">
        <v>300</v>
      </c>
      <c r="D38" s="48" t="s">
        <v>176</v>
      </c>
      <c r="E38" s="48">
        <v>50000</v>
      </c>
      <c r="F38" s="48">
        <v>65</v>
      </c>
      <c r="G38" s="48">
        <f t="shared" si="1"/>
        <v>79</v>
      </c>
      <c r="H38" s="34"/>
      <c r="I38" s="34"/>
      <c r="J38" s="34"/>
      <c r="K38" s="34"/>
      <c r="L38" s="34"/>
      <c r="M38" s="34"/>
    </row>
    <row r="39" spans="1:13" ht="18.75" thickTop="1" thickBot="1">
      <c r="A39" s="49" t="s">
        <v>175</v>
      </c>
      <c r="B39" s="46">
        <v>2000</v>
      </c>
      <c r="C39" s="47">
        <v>500</v>
      </c>
      <c r="D39" s="48" t="s">
        <v>176</v>
      </c>
      <c r="E39" s="48">
        <v>50000</v>
      </c>
      <c r="F39" s="48">
        <v>110</v>
      </c>
      <c r="G39" s="48">
        <f t="shared" si="1"/>
        <v>78</v>
      </c>
      <c r="H39" s="34"/>
      <c r="I39" s="34"/>
      <c r="J39" s="34"/>
      <c r="K39" s="34"/>
      <c r="L39" s="34"/>
      <c r="M39" s="34"/>
    </row>
    <row r="40" spans="1:13" ht="18.75" thickTop="1" thickBot="1">
      <c r="A40" s="49" t="s">
        <v>175</v>
      </c>
      <c r="B40" s="46">
        <v>2000</v>
      </c>
      <c r="C40" s="47">
        <v>750</v>
      </c>
      <c r="D40" s="48" t="s">
        <v>176</v>
      </c>
      <c r="E40" s="48">
        <v>50000</v>
      </c>
      <c r="F40" s="48">
        <v>160</v>
      </c>
      <c r="G40" s="48">
        <f t="shared" si="1"/>
        <v>79</v>
      </c>
      <c r="H40" s="34"/>
      <c r="I40" s="34"/>
      <c r="J40" s="34"/>
      <c r="K40" s="34"/>
      <c r="L40" s="34"/>
      <c r="M40" s="34"/>
    </row>
    <row r="41" spans="1:13" ht="18.75" thickTop="1" thickBot="1">
      <c r="A41" s="49" t="s">
        <v>177</v>
      </c>
      <c r="B41" s="46">
        <v>10000</v>
      </c>
      <c r="C41" s="47">
        <v>170</v>
      </c>
      <c r="D41" s="48" t="s">
        <v>177</v>
      </c>
      <c r="E41" s="48">
        <v>50000</v>
      </c>
      <c r="F41" s="48">
        <v>85</v>
      </c>
      <c r="G41" s="48">
        <f t="shared" si="1"/>
        <v>50</v>
      </c>
      <c r="H41" s="34"/>
      <c r="I41" s="34"/>
      <c r="J41" s="34"/>
      <c r="K41" s="34"/>
      <c r="L41" s="34"/>
      <c r="M41" s="34"/>
    </row>
    <row r="42" spans="1:13" ht="18.75" thickTop="1" thickBot="1">
      <c r="A42" s="49" t="s">
        <v>178</v>
      </c>
      <c r="B42" s="46">
        <v>10000</v>
      </c>
      <c r="C42" s="47">
        <v>61</v>
      </c>
      <c r="D42" s="48" t="s">
        <v>179</v>
      </c>
      <c r="E42" s="48">
        <v>50000</v>
      </c>
      <c r="F42" s="48">
        <v>22</v>
      </c>
      <c r="G42" s="48">
        <f t="shared" si="1"/>
        <v>64</v>
      </c>
      <c r="H42" s="34"/>
      <c r="I42" s="34"/>
      <c r="J42" s="34"/>
      <c r="K42" s="34"/>
      <c r="L42" s="34"/>
      <c r="M42" s="34"/>
    </row>
    <row r="43" spans="1:13" ht="18.75" thickTop="1" thickBot="1">
      <c r="A43" s="49" t="s">
        <v>178</v>
      </c>
      <c r="B43" s="46">
        <v>10000</v>
      </c>
      <c r="C43" s="47">
        <v>114</v>
      </c>
      <c r="D43" s="48" t="s">
        <v>179</v>
      </c>
      <c r="E43" s="48">
        <v>50000</v>
      </c>
      <c r="F43" s="48">
        <v>20</v>
      </c>
      <c r="G43" s="48">
        <f t="shared" si="1"/>
        <v>83</v>
      </c>
      <c r="H43" s="34"/>
      <c r="I43" s="34"/>
      <c r="J43" s="34"/>
      <c r="K43" s="34"/>
      <c r="L43" s="34"/>
      <c r="M43" s="34"/>
    </row>
    <row r="44" spans="1:13" ht="18.75" thickTop="1" thickBot="1">
      <c r="A44" s="49" t="s">
        <v>178</v>
      </c>
      <c r="B44" s="46">
        <v>10000</v>
      </c>
      <c r="C44" s="47">
        <v>150</v>
      </c>
      <c r="D44" s="48" t="s">
        <v>179</v>
      </c>
      <c r="E44" s="48">
        <v>50000</v>
      </c>
      <c r="F44" s="48">
        <v>50</v>
      </c>
      <c r="G44" s="48">
        <f t="shared" si="1"/>
        <v>67</v>
      </c>
      <c r="H44" s="34"/>
      <c r="I44" s="34"/>
      <c r="J44" s="34"/>
      <c r="K44" s="34"/>
      <c r="L44" s="34"/>
      <c r="M44" s="34"/>
    </row>
    <row r="45" spans="1:13" ht="18.75" thickTop="1" thickBot="1">
      <c r="A45" s="49" t="s">
        <v>178</v>
      </c>
      <c r="B45" s="46">
        <v>10000</v>
      </c>
      <c r="C45" s="47">
        <v>169</v>
      </c>
      <c r="D45" s="48" t="s">
        <v>179</v>
      </c>
      <c r="E45" s="48">
        <v>50000</v>
      </c>
      <c r="F45" s="48">
        <v>100</v>
      </c>
      <c r="G45" s="48">
        <f t="shared" si="1"/>
        <v>41</v>
      </c>
      <c r="H45" s="34"/>
      <c r="I45" s="34"/>
      <c r="J45" s="34"/>
      <c r="K45" s="34"/>
      <c r="L45" s="34"/>
      <c r="M45" s="34"/>
    </row>
    <row r="46" spans="1:13" ht="18.75" thickTop="1" thickBot="1">
      <c r="A46" s="49" t="s">
        <v>178</v>
      </c>
      <c r="B46" s="46">
        <v>10000</v>
      </c>
      <c r="C46" s="47">
        <v>250</v>
      </c>
      <c r="D46" s="48" t="s">
        <v>179</v>
      </c>
      <c r="E46" s="48">
        <v>50000</v>
      </c>
      <c r="F46" s="48">
        <v>40</v>
      </c>
      <c r="G46" s="48">
        <f t="shared" si="1"/>
        <v>84</v>
      </c>
      <c r="H46" s="34"/>
      <c r="I46" s="34"/>
      <c r="J46" s="34"/>
      <c r="K46" s="34"/>
      <c r="L46" s="34"/>
      <c r="M46" s="34"/>
    </row>
    <row r="47" spans="1:13" ht="18.75" thickTop="1" thickBot="1">
      <c r="A47" s="49" t="s">
        <v>178</v>
      </c>
      <c r="B47" s="46">
        <v>10000</v>
      </c>
      <c r="C47" s="47">
        <v>274</v>
      </c>
      <c r="D47" s="48" t="s">
        <v>179</v>
      </c>
      <c r="E47" s="48">
        <v>50000</v>
      </c>
      <c r="F47" s="48">
        <v>140</v>
      </c>
      <c r="G47" s="48">
        <f t="shared" si="1"/>
        <v>49</v>
      </c>
      <c r="H47" s="34"/>
      <c r="I47" s="34"/>
      <c r="J47" s="34"/>
      <c r="K47" s="34"/>
      <c r="L47" s="34"/>
      <c r="M47" s="34"/>
    </row>
    <row r="48" spans="1:13" ht="18.75" thickTop="1" thickBot="1">
      <c r="A48" s="49" t="s">
        <v>178</v>
      </c>
      <c r="B48" s="46">
        <v>10000</v>
      </c>
      <c r="C48" s="47">
        <v>433</v>
      </c>
      <c r="D48" s="48" t="s">
        <v>179</v>
      </c>
      <c r="E48" s="48">
        <v>50000</v>
      </c>
      <c r="F48" s="48">
        <v>200</v>
      </c>
      <c r="G48" s="48">
        <f t="shared" si="1"/>
        <v>54</v>
      </c>
      <c r="H48" s="34"/>
      <c r="I48" s="34"/>
      <c r="J48" s="34"/>
      <c r="K48" s="34"/>
      <c r="L48" s="34"/>
      <c r="M48" s="34"/>
    </row>
    <row r="49" spans="1:13" ht="18.75" thickTop="1" thickBot="1">
      <c r="A49" s="49" t="s">
        <v>178</v>
      </c>
      <c r="B49" s="46">
        <v>10000</v>
      </c>
      <c r="C49" s="47">
        <v>433</v>
      </c>
      <c r="D49" s="48" t="s">
        <v>179</v>
      </c>
      <c r="E49" s="48">
        <v>50000</v>
      </c>
      <c r="F49" s="48">
        <v>220</v>
      </c>
      <c r="G49" s="48">
        <f t="shared" si="1"/>
        <v>50</v>
      </c>
      <c r="H49" s="34"/>
      <c r="I49" s="34"/>
      <c r="J49" s="34"/>
      <c r="K49" s="34"/>
      <c r="L49" s="34"/>
      <c r="M49" s="34"/>
    </row>
    <row r="50" spans="1:13" ht="18.75" thickTop="1" thickBot="1">
      <c r="A50" s="49" t="s">
        <v>178</v>
      </c>
      <c r="B50" s="46">
        <v>10000</v>
      </c>
      <c r="C50" s="47">
        <v>500</v>
      </c>
      <c r="D50" s="48" t="s">
        <v>179</v>
      </c>
      <c r="E50" s="48">
        <v>50000</v>
      </c>
      <c r="F50" s="48">
        <v>70</v>
      </c>
      <c r="G50" s="48">
        <f t="shared" si="1"/>
        <v>86</v>
      </c>
      <c r="H50" s="34"/>
      <c r="I50" s="34"/>
      <c r="J50" s="34"/>
      <c r="K50" s="34"/>
      <c r="L50" s="34"/>
      <c r="M50" s="34"/>
    </row>
    <row r="51" spans="1:13" ht="18.75" thickTop="1" thickBot="1">
      <c r="A51" s="49" t="s">
        <v>178</v>
      </c>
      <c r="B51" s="46">
        <v>10000</v>
      </c>
      <c r="C51" s="47">
        <v>1000</v>
      </c>
      <c r="D51" s="48" t="s">
        <v>179</v>
      </c>
      <c r="E51" s="48">
        <v>50000</v>
      </c>
      <c r="F51" s="48">
        <v>140</v>
      </c>
      <c r="G51" s="48">
        <f t="shared" si="1"/>
        <v>86</v>
      </c>
      <c r="H51" s="34"/>
      <c r="I51" s="34"/>
      <c r="J51" s="34"/>
      <c r="K51" s="34"/>
      <c r="L51" s="34"/>
      <c r="M51" s="34"/>
    </row>
    <row r="52" spans="1:13" ht="18.75" thickTop="1" thickBot="1">
      <c r="A52" s="49" t="s">
        <v>180</v>
      </c>
      <c r="B52" s="46">
        <v>10000</v>
      </c>
      <c r="C52" s="47">
        <v>10</v>
      </c>
      <c r="D52" s="48" t="s">
        <v>181</v>
      </c>
      <c r="E52" s="48">
        <v>50000</v>
      </c>
      <c r="F52" s="48">
        <v>3</v>
      </c>
      <c r="G52" s="48">
        <f t="shared" si="1"/>
        <v>70</v>
      </c>
      <c r="H52" s="34"/>
      <c r="I52" s="34"/>
      <c r="J52" s="34"/>
      <c r="K52" s="34"/>
      <c r="L52" s="34"/>
      <c r="M52" s="34"/>
    </row>
    <row r="53" spans="1:13" ht="18.75" thickTop="1" thickBot="1">
      <c r="A53" s="49" t="s">
        <v>180</v>
      </c>
      <c r="B53" s="46">
        <v>10000</v>
      </c>
      <c r="C53" s="47">
        <v>20</v>
      </c>
      <c r="D53" s="48" t="s">
        <v>182</v>
      </c>
      <c r="E53" s="48">
        <v>50000</v>
      </c>
      <c r="F53" s="48">
        <v>6</v>
      </c>
      <c r="G53" s="48">
        <f t="shared" si="1"/>
        <v>70</v>
      </c>
      <c r="H53" s="34"/>
      <c r="I53" s="34"/>
      <c r="J53" s="34"/>
      <c r="K53" s="34"/>
      <c r="L53" s="34"/>
      <c r="M53" s="34"/>
    </row>
    <row r="54" spans="1:13" ht="18.75" thickTop="1" thickBot="1">
      <c r="A54" s="45" t="s">
        <v>183</v>
      </c>
      <c r="B54" s="46">
        <v>10000</v>
      </c>
      <c r="C54" s="47">
        <v>47</v>
      </c>
      <c r="D54" s="48" t="s">
        <v>183</v>
      </c>
      <c r="E54" s="48">
        <v>50000</v>
      </c>
      <c r="F54" s="48">
        <v>15</v>
      </c>
      <c r="G54" s="48">
        <f t="shared" si="1"/>
        <v>69</v>
      </c>
      <c r="H54" s="34"/>
      <c r="I54" s="34"/>
      <c r="J54" s="34"/>
      <c r="K54" s="34"/>
      <c r="L54" s="34"/>
      <c r="M54" s="34"/>
    </row>
    <row r="55" spans="1:13" ht="18.75" thickTop="1" thickBot="1">
      <c r="A55" s="45" t="s">
        <v>183</v>
      </c>
      <c r="B55" s="46">
        <v>10000</v>
      </c>
      <c r="C55" s="47">
        <v>114</v>
      </c>
      <c r="D55" s="48" t="s">
        <v>183</v>
      </c>
      <c r="E55" s="48">
        <v>50000</v>
      </c>
      <c r="F55" s="48">
        <v>55</v>
      </c>
      <c r="G55" s="48">
        <f t="shared" si="1"/>
        <v>52</v>
      </c>
      <c r="H55" s="34"/>
      <c r="I55" s="34"/>
      <c r="J55" s="34"/>
      <c r="K55" s="34"/>
      <c r="L55" s="34"/>
      <c r="M55" s="34"/>
    </row>
    <row r="56" spans="1:13" ht="18.75" thickTop="1" thickBot="1">
      <c r="A56" s="45" t="s">
        <v>183</v>
      </c>
      <c r="B56" s="46">
        <v>10000</v>
      </c>
      <c r="C56" s="47">
        <v>274</v>
      </c>
      <c r="D56" s="48" t="s">
        <v>183</v>
      </c>
      <c r="E56" s="48">
        <v>50000</v>
      </c>
      <c r="F56" s="48">
        <v>100</v>
      </c>
      <c r="G56" s="48">
        <f t="shared" si="1"/>
        <v>64</v>
      </c>
      <c r="H56" s="34"/>
      <c r="I56" s="34"/>
      <c r="J56" s="34"/>
      <c r="K56" s="34"/>
      <c r="L56" s="34"/>
      <c r="M56" s="34"/>
    </row>
    <row r="57" spans="1:13" ht="18.75" thickTop="1" thickBot="1">
      <c r="A57" s="45" t="s">
        <v>183</v>
      </c>
      <c r="B57" s="46">
        <v>10000</v>
      </c>
      <c r="C57" s="47">
        <v>336</v>
      </c>
      <c r="D57" s="48" t="s">
        <v>183</v>
      </c>
      <c r="E57" s="48">
        <v>50000</v>
      </c>
      <c r="F57" s="48">
        <v>160</v>
      </c>
      <c r="G57" s="48">
        <f t="shared" si="1"/>
        <v>53</v>
      </c>
      <c r="H57" s="34"/>
      <c r="I57" s="34"/>
      <c r="J57" s="34"/>
      <c r="K57" s="34"/>
      <c r="L57" s="34"/>
      <c r="M57" s="34"/>
    </row>
    <row r="58" spans="1:13" ht="18.75" thickTop="1" thickBot="1">
      <c r="A58" s="45" t="s">
        <v>183</v>
      </c>
      <c r="B58" s="46">
        <v>10000</v>
      </c>
      <c r="C58" s="47">
        <v>227</v>
      </c>
      <c r="D58" s="48" t="s">
        <v>183</v>
      </c>
      <c r="E58" s="48">
        <v>50000</v>
      </c>
      <c r="F58" s="48">
        <v>110</v>
      </c>
      <c r="G58" s="48">
        <f t="shared" si="1"/>
        <v>52</v>
      </c>
      <c r="H58" s="34"/>
      <c r="I58" s="34"/>
      <c r="J58" s="34"/>
      <c r="K58" s="34"/>
      <c r="L58" s="34"/>
      <c r="M58" s="34"/>
    </row>
    <row r="59" spans="1:13" ht="18.75" thickTop="1" thickBot="1">
      <c r="A59" s="45" t="s">
        <v>183</v>
      </c>
      <c r="B59" s="46">
        <v>10000</v>
      </c>
      <c r="C59" s="47">
        <v>433</v>
      </c>
      <c r="D59" s="48" t="s">
        <v>183</v>
      </c>
      <c r="E59" s="48">
        <v>50000</v>
      </c>
      <c r="F59" s="48">
        <v>220</v>
      </c>
      <c r="G59" s="48">
        <f t="shared" si="1"/>
        <v>50</v>
      </c>
      <c r="H59" s="34"/>
      <c r="I59" s="34"/>
      <c r="J59" s="34"/>
      <c r="K59" s="34"/>
      <c r="L59" s="34"/>
      <c r="M59" s="34"/>
    </row>
    <row r="60" spans="1:13" ht="18.75" thickTop="1" thickBot="1">
      <c r="A60" s="45" t="s">
        <v>183</v>
      </c>
      <c r="B60" s="46">
        <v>10000</v>
      </c>
      <c r="C60" s="47">
        <v>545</v>
      </c>
      <c r="D60" s="48" t="s">
        <v>183</v>
      </c>
      <c r="E60" s="48">
        <v>50000</v>
      </c>
      <c r="F60" s="48">
        <v>280</v>
      </c>
      <c r="G60" s="48">
        <f t="shared" si="1"/>
        <v>49</v>
      </c>
      <c r="H60" s="34"/>
      <c r="I60" s="34"/>
      <c r="J60" s="34"/>
      <c r="K60" s="34"/>
      <c r="L60" s="34"/>
      <c r="M60" s="34"/>
    </row>
    <row r="61" spans="1:13" ht="18.75" thickTop="1" thickBot="1">
      <c r="A61" s="45" t="s">
        <v>183</v>
      </c>
      <c r="B61" s="46">
        <v>10000</v>
      </c>
      <c r="C61" s="47">
        <v>809</v>
      </c>
      <c r="D61" s="48" t="s">
        <v>183</v>
      </c>
      <c r="E61" s="48">
        <v>50000</v>
      </c>
      <c r="F61" s="48">
        <v>390</v>
      </c>
      <c r="G61" s="48">
        <f t="shared" si="1"/>
        <v>52</v>
      </c>
      <c r="H61" s="34"/>
      <c r="I61" s="34"/>
      <c r="J61" s="34"/>
      <c r="K61" s="34"/>
      <c r="L61" s="34"/>
      <c r="M61" s="34"/>
    </row>
    <row r="62" spans="1:13" ht="18.75" thickTop="1" thickBot="1">
      <c r="A62" s="45" t="s">
        <v>183</v>
      </c>
      <c r="B62" s="46">
        <v>10000</v>
      </c>
      <c r="C62" s="47">
        <v>1078</v>
      </c>
      <c r="D62" s="48" t="s">
        <v>183</v>
      </c>
      <c r="E62" s="48">
        <v>50000</v>
      </c>
      <c r="F62" s="48">
        <v>500</v>
      </c>
      <c r="G62" s="48">
        <f t="shared" si="1"/>
        <v>54</v>
      </c>
      <c r="H62" s="34"/>
      <c r="I62" s="34"/>
      <c r="J62" s="34"/>
      <c r="K62" s="34"/>
      <c r="L62" s="34"/>
      <c r="M62" s="34"/>
    </row>
    <row r="63" spans="1:13" ht="20.25" customHeight="1" thickTop="1" thickBot="1">
      <c r="A63" s="45"/>
      <c r="B63" s="49"/>
      <c r="C63" s="50"/>
      <c r="D63" s="51"/>
      <c r="E63" s="51"/>
      <c r="F63" s="51"/>
      <c r="G63" s="48" t="e">
        <f t="shared" ref="G63:G69" si="2">ROUNDUP(100-((F63/C63)*100),0)</f>
        <v>#DIV/0!</v>
      </c>
      <c r="H63" s="34"/>
      <c r="I63" s="34"/>
      <c r="J63" s="34"/>
      <c r="K63" s="34"/>
      <c r="L63" s="34"/>
      <c r="M63" s="34"/>
    </row>
    <row r="64" spans="1:13" ht="18.75" thickTop="1" thickBot="1">
      <c r="A64" s="49" t="s">
        <v>184</v>
      </c>
      <c r="B64" s="46" t="s">
        <v>185</v>
      </c>
      <c r="C64" s="47">
        <v>175</v>
      </c>
      <c r="D64" s="48" t="s">
        <v>186</v>
      </c>
      <c r="E64" s="48" t="s">
        <v>185</v>
      </c>
      <c r="F64" s="48">
        <v>110</v>
      </c>
      <c r="G64" s="48">
        <f t="shared" si="2"/>
        <v>38</v>
      </c>
      <c r="H64" s="34"/>
      <c r="I64" s="34"/>
      <c r="J64" s="34"/>
      <c r="K64" s="34"/>
      <c r="L64" s="34"/>
      <c r="M64" s="34"/>
    </row>
    <row r="65" spans="1:13" ht="18.75" thickTop="1" thickBot="1">
      <c r="A65" s="49" t="s">
        <v>184</v>
      </c>
      <c r="B65" s="46" t="s">
        <v>185</v>
      </c>
      <c r="C65" s="47">
        <v>175</v>
      </c>
      <c r="D65" s="48" t="s">
        <v>187</v>
      </c>
      <c r="E65" s="48" t="s">
        <v>185</v>
      </c>
      <c r="F65" s="48">
        <v>40</v>
      </c>
      <c r="G65" s="48">
        <f t="shared" si="2"/>
        <v>78</v>
      </c>
      <c r="H65" s="34"/>
      <c r="I65" s="34"/>
      <c r="J65" s="34"/>
      <c r="K65" s="34"/>
      <c r="L65" s="34"/>
      <c r="M65" s="34"/>
    </row>
    <row r="66" spans="1:13" ht="18.75" thickTop="1" thickBot="1">
      <c r="A66" s="49" t="s">
        <v>56</v>
      </c>
      <c r="B66" s="46" t="s">
        <v>185</v>
      </c>
      <c r="C66" s="47">
        <v>600</v>
      </c>
      <c r="D66" s="48" t="s">
        <v>57</v>
      </c>
      <c r="E66" s="48" t="s">
        <v>185</v>
      </c>
      <c r="F66" s="48">
        <v>60</v>
      </c>
      <c r="G66" s="48">
        <f t="shared" si="2"/>
        <v>90</v>
      </c>
      <c r="H66" s="34"/>
      <c r="I66" s="34"/>
      <c r="J66" s="34"/>
      <c r="K66" s="34"/>
      <c r="L66" s="34"/>
      <c r="M66" s="34"/>
    </row>
    <row r="67" spans="1:13" ht="18" customHeight="1" thickTop="1" thickBot="1">
      <c r="A67" s="49"/>
      <c r="B67" s="49"/>
      <c r="C67" s="50"/>
      <c r="D67" s="51"/>
      <c r="E67" s="51"/>
      <c r="F67" s="51"/>
      <c r="G67" s="48" t="e">
        <f t="shared" si="2"/>
        <v>#DIV/0!</v>
      </c>
      <c r="H67" s="34"/>
      <c r="I67" s="34"/>
      <c r="J67" s="34"/>
      <c r="K67" s="34"/>
      <c r="L67" s="34"/>
      <c r="M67" s="34"/>
    </row>
    <row r="68" spans="1:13" ht="18.75" thickTop="1" thickBot="1">
      <c r="A68" s="49" t="s">
        <v>58</v>
      </c>
      <c r="B68" s="46" t="s">
        <v>185</v>
      </c>
      <c r="C68" s="50">
        <v>300</v>
      </c>
      <c r="D68" s="51" t="s">
        <v>188</v>
      </c>
      <c r="E68" s="48" t="s">
        <v>185</v>
      </c>
      <c r="F68" s="48">
        <v>100</v>
      </c>
      <c r="G68" s="48">
        <f t="shared" si="2"/>
        <v>67</v>
      </c>
      <c r="H68" s="34"/>
      <c r="I68" s="34"/>
      <c r="J68" s="34"/>
      <c r="K68" s="34"/>
      <c r="L68" s="34"/>
      <c r="M68" s="34"/>
    </row>
    <row r="69" spans="1:13" ht="18.75" thickTop="1" thickBot="1">
      <c r="A69" s="49" t="s">
        <v>59</v>
      </c>
      <c r="B69" s="46" t="s">
        <v>185</v>
      </c>
      <c r="C69" s="50">
        <v>400</v>
      </c>
      <c r="D69" s="51" t="s">
        <v>189</v>
      </c>
      <c r="E69" s="48" t="s">
        <v>185</v>
      </c>
      <c r="F69" s="48">
        <v>150</v>
      </c>
      <c r="G69" s="48">
        <f t="shared" si="2"/>
        <v>63</v>
      </c>
      <c r="H69" s="34"/>
      <c r="I69" s="34"/>
      <c r="J69" s="34"/>
      <c r="K69" s="34"/>
      <c r="L69" s="34"/>
      <c r="M69" s="34"/>
    </row>
    <row r="70" spans="1:13" ht="16.5" thickTop="1">
      <c r="A70" s="34"/>
      <c r="B70" s="34"/>
      <c r="C70" s="34"/>
      <c r="D70" s="34"/>
      <c r="E70" s="34"/>
      <c r="F70" s="34"/>
      <c r="G70" s="34"/>
      <c r="H70" s="34"/>
      <c r="I70" s="34"/>
      <c r="J70" s="34"/>
      <c r="K70" s="34"/>
      <c r="L70" s="34"/>
      <c r="M70" s="34"/>
    </row>
    <row r="71" spans="1:13">
      <c r="A71" s="34"/>
      <c r="B71" s="34"/>
      <c r="C71" s="34"/>
      <c r="D71" s="34"/>
      <c r="E71" s="34"/>
      <c r="F71" s="34"/>
      <c r="G71" s="34"/>
      <c r="H71" s="34"/>
      <c r="I71" s="34"/>
      <c r="J71" s="34"/>
      <c r="K71" s="34"/>
      <c r="L71" s="34"/>
      <c r="M71" s="34"/>
    </row>
    <row r="72" spans="1:13" ht="17.25">
      <c r="A72" s="52" t="s">
        <v>209</v>
      </c>
      <c r="B72" s="34"/>
      <c r="C72" s="34"/>
      <c r="D72" s="34"/>
      <c r="E72" s="34"/>
      <c r="F72" s="34"/>
      <c r="G72" s="34"/>
      <c r="H72" s="34"/>
      <c r="I72" s="34"/>
      <c r="J72" s="34"/>
      <c r="K72" s="34"/>
      <c r="L72" s="34"/>
      <c r="M72" s="34"/>
    </row>
    <row r="73" spans="1:13">
      <c r="A73" s="34"/>
      <c r="B73" s="34"/>
      <c r="C73" s="34"/>
      <c r="D73" s="34"/>
      <c r="E73" s="34"/>
      <c r="F73" s="34"/>
      <c r="G73" s="34"/>
      <c r="H73" s="34"/>
      <c r="I73" s="34"/>
      <c r="J73" s="34"/>
      <c r="K73" s="34"/>
      <c r="L73" s="34"/>
      <c r="M73" s="34"/>
    </row>
    <row r="74" spans="1:13">
      <c r="A74" s="34"/>
      <c r="B74" s="34"/>
      <c r="C74" s="34"/>
      <c r="D74" s="34"/>
      <c r="E74" s="34"/>
      <c r="F74" s="34"/>
      <c r="G74" s="34"/>
      <c r="H74" s="34"/>
      <c r="I74" s="34"/>
      <c r="J74" s="34"/>
      <c r="K74" s="34"/>
      <c r="L74" s="34"/>
      <c r="M74" s="34"/>
    </row>
    <row r="75" spans="1:13">
      <c r="A75" s="34"/>
      <c r="B75" s="34"/>
      <c r="C75" s="34"/>
      <c r="D75" s="34"/>
      <c r="E75" s="34"/>
      <c r="F75" s="34"/>
      <c r="G75" s="34"/>
      <c r="H75" s="34"/>
      <c r="I75" s="34"/>
      <c r="J75" s="34"/>
      <c r="K75" s="34"/>
      <c r="L75" s="34"/>
      <c r="M75" s="34"/>
    </row>
    <row r="76" spans="1:13">
      <c r="A76" s="34"/>
      <c r="B76" s="34"/>
      <c r="C76" s="34"/>
      <c r="D76" s="34"/>
      <c r="E76" s="34"/>
      <c r="F76" s="34"/>
      <c r="G76" s="34"/>
      <c r="H76" s="34"/>
      <c r="I76" s="34"/>
      <c r="J76" s="34"/>
      <c r="K76" s="34"/>
      <c r="L76" s="34"/>
      <c r="M76" s="34"/>
    </row>
    <row r="77" spans="1:13">
      <c r="A77" s="34"/>
      <c r="B77" s="34"/>
      <c r="C77" s="34"/>
      <c r="D77" s="34"/>
      <c r="E77" s="34"/>
      <c r="F77" s="34"/>
      <c r="G77" s="34"/>
      <c r="H77" s="34"/>
      <c r="I77" s="34"/>
      <c r="J77" s="34"/>
      <c r="K77" s="34"/>
      <c r="L77" s="34"/>
      <c r="M77" s="34"/>
    </row>
    <row r="78" spans="1:13">
      <c r="A78" s="34"/>
      <c r="B78" s="34"/>
      <c r="C78" s="34"/>
      <c r="D78" s="34"/>
      <c r="E78" s="34"/>
      <c r="F78" s="34"/>
      <c r="G78" s="34"/>
      <c r="H78" s="34"/>
      <c r="I78" s="34"/>
      <c r="J78" s="34"/>
      <c r="K78" s="34"/>
      <c r="L78" s="34"/>
      <c r="M78" s="34"/>
    </row>
    <row r="79" spans="1:13">
      <c r="A79" s="34"/>
      <c r="B79" s="34"/>
      <c r="C79" s="34"/>
      <c r="D79" s="34"/>
      <c r="E79" s="34"/>
      <c r="F79" s="34"/>
      <c r="G79" s="34"/>
      <c r="H79" s="34"/>
      <c r="I79" s="34"/>
      <c r="J79" s="34"/>
      <c r="K79" s="34"/>
      <c r="L79" s="34"/>
      <c r="M79" s="34"/>
    </row>
    <row r="80" spans="1:13">
      <c r="A80" s="34"/>
      <c r="B80" s="34"/>
      <c r="C80" s="34"/>
      <c r="D80" s="34"/>
      <c r="E80" s="34"/>
      <c r="F80" s="34"/>
      <c r="G80" s="34"/>
      <c r="H80" s="34"/>
      <c r="I80" s="34"/>
      <c r="J80" s="34"/>
      <c r="K80" s="34"/>
      <c r="L80" s="34"/>
      <c r="M80" s="34"/>
    </row>
    <row r="81" spans="1:13">
      <c r="A81" s="34"/>
      <c r="B81" s="34"/>
      <c r="C81" s="34"/>
      <c r="D81" s="34"/>
      <c r="E81" s="34"/>
      <c r="F81" s="34"/>
      <c r="G81" s="34"/>
      <c r="H81" s="34"/>
      <c r="I81" s="34"/>
      <c r="J81" s="34"/>
      <c r="K81" s="34"/>
      <c r="L81" s="34"/>
      <c r="M81" s="34"/>
    </row>
    <row r="82" spans="1:13">
      <c r="A82" s="34"/>
      <c r="B82" s="34"/>
      <c r="C82" s="34"/>
      <c r="D82" s="34"/>
      <c r="E82" s="34"/>
      <c r="F82" s="34"/>
      <c r="G82" s="34"/>
      <c r="H82" s="34"/>
      <c r="I82" s="34"/>
      <c r="J82" s="34"/>
      <c r="K82" s="34"/>
      <c r="L82" s="34"/>
      <c r="M82" s="34"/>
    </row>
    <row r="83" spans="1:13">
      <c r="A83" s="34"/>
      <c r="B83" s="35"/>
      <c r="C83" s="34"/>
      <c r="D83" s="34"/>
      <c r="E83" s="34"/>
      <c r="F83" s="34"/>
      <c r="G83" s="34"/>
      <c r="H83" s="34"/>
      <c r="I83" s="34"/>
      <c r="J83" s="34"/>
      <c r="K83" s="34"/>
      <c r="L83" s="34"/>
      <c r="M83" s="34"/>
    </row>
    <row r="84" spans="1:13">
      <c r="A84" s="34"/>
      <c r="B84" s="34"/>
      <c r="C84" s="34"/>
      <c r="D84" s="34"/>
      <c r="E84" s="34"/>
      <c r="F84" s="34"/>
      <c r="G84" s="34"/>
      <c r="H84" s="34"/>
      <c r="I84" s="34"/>
      <c r="J84" s="34"/>
      <c r="K84" s="34"/>
      <c r="L84" s="34"/>
      <c r="M84" s="34"/>
    </row>
    <row r="85" spans="1:13">
      <c r="A85" s="34"/>
      <c r="B85" s="34"/>
      <c r="C85" s="34"/>
      <c r="D85" s="34"/>
      <c r="E85" s="34"/>
      <c r="F85" s="34"/>
      <c r="G85" s="34"/>
      <c r="H85" s="34"/>
      <c r="I85" s="34"/>
      <c r="J85" s="34"/>
      <c r="K85" s="34"/>
      <c r="L85" s="34"/>
      <c r="M85" s="34"/>
    </row>
  </sheetData>
  <sheetProtection password="DEB3" sheet="1" objects="1" scenarios="1"/>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sheetPr codeName="Feuil2">
    <tabColor rgb="FF92D050"/>
  </sheetPr>
  <dimension ref="A1:J79"/>
  <sheetViews>
    <sheetView workbookViewId="0">
      <pane ySplit="1" topLeftCell="A95" activePane="bottomLeft" state="frozen"/>
      <selection activeCell="P16" sqref="P16"/>
      <selection pane="bottomLeft" activeCell="B42" sqref="B42"/>
    </sheetView>
  </sheetViews>
  <sheetFormatPr baseColWidth="10" defaultColWidth="11.42578125" defaultRowHeight="15"/>
  <cols>
    <col min="1" max="1" width="22.7109375" style="5" customWidth="1"/>
    <col min="2" max="2" width="21.85546875" style="5" customWidth="1"/>
    <col min="3" max="3" width="24.7109375" style="5" customWidth="1"/>
    <col min="4" max="4" width="25.42578125" style="5" customWidth="1"/>
    <col min="5" max="5" width="23" style="5" customWidth="1"/>
    <col min="6" max="6" width="22.85546875" style="5" customWidth="1"/>
    <col min="7" max="7" width="22.7109375" style="5" customWidth="1"/>
    <col min="8" max="16384" width="11.42578125" style="5"/>
  </cols>
  <sheetData>
    <row r="1" spans="1:10" ht="28.5" customHeight="1">
      <c r="A1" s="5" t="s">
        <v>305</v>
      </c>
    </row>
    <row r="4" spans="1:10">
      <c r="A4" s="194"/>
      <c r="B4" s="194"/>
      <c r="C4" s="194"/>
      <c r="D4" s="194"/>
      <c r="E4" s="15"/>
      <c r="F4" s="15"/>
      <c r="G4" s="15"/>
      <c r="H4" s="15"/>
      <c r="I4" s="15"/>
      <c r="J4" s="15"/>
    </row>
    <row r="5" spans="1:10">
      <c r="A5" s="18" t="s">
        <v>1</v>
      </c>
      <c r="B5" s="300">
        <f ca="1">TODAY()</f>
        <v>43953</v>
      </c>
      <c r="C5" s="300"/>
      <c r="D5" s="195"/>
    </row>
    <row r="6" spans="1:10">
      <c r="A6" s="1" t="s">
        <v>2</v>
      </c>
      <c r="B6" s="301" t="s">
        <v>379</v>
      </c>
      <c r="C6" s="302"/>
      <c r="D6" s="196"/>
    </row>
    <row r="7" spans="1:10">
      <c r="A7" s="19" t="s">
        <v>3</v>
      </c>
      <c r="B7" s="301">
        <v>677695679</v>
      </c>
      <c r="C7" s="302"/>
      <c r="D7" s="194"/>
    </row>
    <row r="8" spans="1:10">
      <c r="A8" s="19" t="s">
        <v>36</v>
      </c>
      <c r="B8" s="301" t="s">
        <v>380</v>
      </c>
      <c r="C8" s="302"/>
      <c r="D8" s="194"/>
    </row>
    <row r="9" spans="1:10">
      <c r="A9" s="19" t="s">
        <v>4</v>
      </c>
      <c r="B9" s="301" t="s">
        <v>381</v>
      </c>
      <c r="C9" s="302"/>
      <c r="D9" s="17" t="s">
        <v>5</v>
      </c>
      <c r="E9" s="298" t="s">
        <v>383</v>
      </c>
      <c r="F9" s="299"/>
    </row>
    <row r="10" spans="1:10">
      <c r="A10" s="19" t="s">
        <v>6</v>
      </c>
      <c r="B10" s="294" t="s">
        <v>382</v>
      </c>
      <c r="C10" s="295"/>
      <c r="D10" s="17" t="s">
        <v>37</v>
      </c>
      <c r="E10" s="296" t="s">
        <v>384</v>
      </c>
      <c r="F10" s="297"/>
    </row>
    <row r="11" spans="1:10">
      <c r="A11" s="1"/>
      <c r="B11" s="194"/>
      <c r="C11" s="194"/>
      <c r="D11" s="194"/>
    </row>
    <row r="12" spans="1:10">
      <c r="A12" s="15"/>
      <c r="B12" s="15"/>
      <c r="C12" s="15"/>
      <c r="D12" s="15"/>
      <c r="E12" s="15"/>
      <c r="F12" s="15"/>
      <c r="G12" s="15"/>
      <c r="H12" s="15"/>
      <c r="I12" s="15"/>
      <c r="J12" s="15"/>
    </row>
    <row r="13" spans="1:10">
      <c r="A13" s="17" t="s">
        <v>131</v>
      </c>
      <c r="B13" s="2" t="s">
        <v>43</v>
      </c>
      <c r="C13" s="2" t="s">
        <v>42</v>
      </c>
      <c r="D13" s="194"/>
      <c r="E13" s="194"/>
      <c r="F13" s="194"/>
      <c r="G13" s="194"/>
      <c r="H13" s="194"/>
      <c r="I13" s="194"/>
      <c r="J13" s="194"/>
    </row>
    <row r="14" spans="1:10" ht="15.75">
      <c r="A14" s="17" t="s">
        <v>7</v>
      </c>
      <c r="B14" s="77">
        <v>3</v>
      </c>
      <c r="C14" s="16" t="str">
        <f>IFERROR((MID(B14,1,1)+MID(B14,3,2)/60+MID(B14,6,2)/3600),"")</f>
        <v/>
      </c>
      <c r="D14" s="3" t="s">
        <v>9</v>
      </c>
      <c r="E14" s="4"/>
    </row>
    <row r="15" spans="1:10" ht="15.75">
      <c r="A15" s="20" t="s">
        <v>8</v>
      </c>
      <c r="B15" s="77">
        <v>11</v>
      </c>
      <c r="C15" s="16" t="str">
        <f>IFERROR((MID(B15,1,2)+MID(B15,4,2)/60+MID(B15,7,2)/3600),"")</f>
        <v/>
      </c>
      <c r="D15" s="7" t="s">
        <v>10</v>
      </c>
    </row>
    <row r="16" spans="1:10" ht="15.75">
      <c r="A16" s="20" t="s">
        <v>12</v>
      </c>
      <c r="B16" s="77">
        <v>700</v>
      </c>
      <c r="D16" s="7" t="s">
        <v>11</v>
      </c>
    </row>
    <row r="18" spans="1:10">
      <c r="A18" s="15"/>
      <c r="B18" s="15"/>
      <c r="C18" s="15"/>
      <c r="D18" s="15"/>
      <c r="E18" s="15"/>
      <c r="F18" s="15"/>
      <c r="G18" s="15"/>
      <c r="H18" s="15"/>
      <c r="I18" s="15"/>
      <c r="J18" s="15"/>
    </row>
    <row r="19" spans="1:10">
      <c r="A19" s="22" t="s">
        <v>44</v>
      </c>
      <c r="B19" s="21"/>
      <c r="C19" s="78" t="s">
        <v>385</v>
      </c>
      <c r="D19" s="78"/>
    </row>
    <row r="21" spans="1:10">
      <c r="A21" s="15"/>
      <c r="B21" s="15"/>
      <c r="C21" s="15"/>
      <c r="D21" s="15"/>
      <c r="E21" s="15"/>
      <c r="F21" s="15"/>
      <c r="G21" s="15"/>
      <c r="H21" s="15"/>
      <c r="I21" s="15"/>
      <c r="J21" s="15"/>
    </row>
    <row r="22" spans="1:10">
      <c r="A22" s="5" t="s">
        <v>45</v>
      </c>
      <c r="C22" s="78" t="s">
        <v>13</v>
      </c>
      <c r="D22" s="78"/>
    </row>
    <row r="23" spans="1:10" ht="20.25" thickBot="1">
      <c r="A23" s="8" t="s">
        <v>13</v>
      </c>
      <c r="B23" s="9"/>
      <c r="C23" s="9"/>
      <c r="D23" s="9"/>
      <c r="E23" s="9"/>
    </row>
    <row r="24" spans="1:10" ht="15.75" thickTop="1">
      <c r="A24" s="6" t="s">
        <v>14</v>
      </c>
      <c r="B24" s="197" t="s">
        <v>15</v>
      </c>
      <c r="C24" s="197" t="s">
        <v>16</v>
      </c>
      <c r="D24" s="197" t="s">
        <v>17</v>
      </c>
      <c r="E24" s="197" t="s">
        <v>18</v>
      </c>
    </row>
    <row r="25" spans="1:10">
      <c r="A25" s="23" t="s">
        <v>19</v>
      </c>
      <c r="B25" s="77">
        <v>50</v>
      </c>
      <c r="C25" s="77"/>
      <c r="D25" s="77"/>
      <c r="E25" s="77"/>
    </row>
    <row r="26" spans="1:10">
      <c r="A26" s="23" t="s">
        <v>20</v>
      </c>
      <c r="B26" s="77">
        <v>15</v>
      </c>
      <c r="C26" s="77"/>
      <c r="D26" s="77"/>
      <c r="E26" s="77"/>
    </row>
    <row r="27" spans="1:10">
      <c r="A27" s="23" t="s">
        <v>25</v>
      </c>
      <c r="B27" s="199">
        <f>B26*B25</f>
        <v>750</v>
      </c>
      <c r="C27" s="16">
        <f>C26*C25</f>
        <v>0</v>
      </c>
      <c r="D27" s="16">
        <f>D26*D25</f>
        <v>0</v>
      </c>
      <c r="E27" s="200">
        <f>E26*E25</f>
        <v>0</v>
      </c>
    </row>
    <row r="28" spans="1:10">
      <c r="A28" s="23" t="s">
        <v>21</v>
      </c>
      <c r="B28" s="77" t="s">
        <v>386</v>
      </c>
      <c r="C28" s="77"/>
      <c r="D28" s="77"/>
      <c r="E28" s="77"/>
    </row>
    <row r="29" spans="1:10">
      <c r="A29" s="23" t="s">
        <v>22</v>
      </c>
      <c r="B29" s="77" t="s">
        <v>387</v>
      </c>
      <c r="C29" s="77"/>
      <c r="D29" s="77"/>
      <c r="E29" s="77"/>
    </row>
    <row r="30" spans="1:10">
      <c r="A30" s="10" t="s">
        <v>46</v>
      </c>
      <c r="B30" s="77">
        <v>4</v>
      </c>
      <c r="C30" s="77"/>
      <c r="D30" s="77"/>
      <c r="E30" s="77"/>
    </row>
    <row r="31" spans="1:10">
      <c r="A31" s="23" t="s">
        <v>23</v>
      </c>
      <c r="B31" s="77" t="s">
        <v>388</v>
      </c>
      <c r="C31" s="77"/>
      <c r="D31" s="77"/>
      <c r="E31" s="77"/>
    </row>
    <row r="32" spans="1:10">
      <c r="A32" s="23" t="s">
        <v>24</v>
      </c>
      <c r="B32" s="77" t="s">
        <v>388</v>
      </c>
      <c r="C32" s="77"/>
      <c r="D32" s="77"/>
      <c r="E32" s="77"/>
    </row>
    <row r="33" spans="1:5">
      <c r="A33" s="5" t="s">
        <v>26</v>
      </c>
    </row>
    <row r="34" spans="1:5" ht="20.25" thickBot="1">
      <c r="A34" s="11" t="s">
        <v>27</v>
      </c>
      <c r="B34" s="15"/>
      <c r="C34" s="15"/>
      <c r="D34" s="15"/>
      <c r="E34" s="15"/>
    </row>
    <row r="35" spans="1:5" ht="15.75" thickTop="1">
      <c r="A35" s="12" t="s">
        <v>34</v>
      </c>
    </row>
    <row r="36" spans="1:5">
      <c r="A36" s="24" t="s">
        <v>28</v>
      </c>
      <c r="B36" s="77">
        <v>50</v>
      </c>
    </row>
    <row r="37" spans="1:5">
      <c r="A37" s="24" t="s">
        <v>29</v>
      </c>
      <c r="B37" s="77">
        <v>15</v>
      </c>
    </row>
    <row r="38" spans="1:5">
      <c r="A38" s="13" t="s">
        <v>30</v>
      </c>
      <c r="B38" s="16">
        <f>B36*B37</f>
        <v>750</v>
      </c>
    </row>
    <row r="39" spans="1:5">
      <c r="A39" s="13" t="s">
        <v>47</v>
      </c>
      <c r="B39" s="14"/>
      <c r="C39" s="78">
        <v>10</v>
      </c>
    </row>
    <row r="40" spans="1:5" ht="20.25" thickBot="1">
      <c r="A40" s="11" t="s">
        <v>31</v>
      </c>
      <c r="B40" s="15"/>
      <c r="C40" s="198"/>
      <c r="D40" s="15"/>
      <c r="E40" s="15"/>
    </row>
    <row r="41" spans="1:5" ht="15.75" thickTop="1">
      <c r="A41" s="6" t="s">
        <v>33</v>
      </c>
    </row>
    <row r="42" spans="1:5">
      <c r="A42" s="23" t="s">
        <v>28</v>
      </c>
      <c r="B42" s="77"/>
    </row>
    <row r="43" spans="1:5">
      <c r="A43" s="23" t="s">
        <v>29</v>
      </c>
      <c r="B43" s="77"/>
    </row>
    <row r="44" spans="1:5">
      <c r="A44" s="23" t="s">
        <v>30</v>
      </c>
      <c r="B44" s="16">
        <f>B42*B43</f>
        <v>0</v>
      </c>
      <c r="C44" s="194"/>
    </row>
    <row r="45" spans="1:5">
      <c r="A45" s="10" t="s">
        <v>47</v>
      </c>
      <c r="B45" s="21"/>
      <c r="C45" s="77"/>
    </row>
    <row r="46" spans="1:5" ht="20.25" thickBot="1">
      <c r="A46" s="11" t="s">
        <v>32</v>
      </c>
      <c r="B46" s="15"/>
      <c r="C46" s="15"/>
      <c r="D46" s="15"/>
      <c r="E46" s="15"/>
    </row>
    <row r="47" spans="1:5" ht="15.75" thickTop="1">
      <c r="A47" s="6" t="s">
        <v>35</v>
      </c>
    </row>
    <row r="48" spans="1:5">
      <c r="A48" s="23" t="s">
        <v>28</v>
      </c>
      <c r="B48" s="77"/>
    </row>
    <row r="49" spans="1:10">
      <c r="A49" s="23" t="s">
        <v>29</v>
      </c>
      <c r="B49" s="77"/>
    </row>
    <row r="50" spans="1:10">
      <c r="A50" s="10" t="s">
        <v>30</v>
      </c>
      <c r="B50" s="16">
        <f>B49*B48</f>
        <v>0</v>
      </c>
    </row>
    <row r="51" spans="1:10">
      <c r="A51" s="10" t="s">
        <v>47</v>
      </c>
      <c r="C51" s="77"/>
    </row>
    <row r="53" spans="1:10">
      <c r="A53" s="15"/>
      <c r="B53" s="15"/>
      <c r="C53" s="194"/>
      <c r="D53" s="15"/>
      <c r="E53" s="15"/>
      <c r="F53" s="15"/>
      <c r="G53" s="15"/>
      <c r="H53" s="15"/>
      <c r="I53" s="15"/>
      <c r="J53" s="15"/>
    </row>
    <row r="54" spans="1:10">
      <c r="A54" s="6" t="s">
        <v>48</v>
      </c>
      <c r="C54" s="78"/>
      <c r="D54" s="78"/>
    </row>
    <row r="56" spans="1:10">
      <c r="A56" s="15"/>
      <c r="B56" s="15"/>
      <c r="C56" s="15"/>
      <c r="D56" s="15"/>
      <c r="E56" s="15"/>
      <c r="F56" s="15"/>
      <c r="G56" s="15"/>
      <c r="H56" s="15"/>
      <c r="I56" s="15"/>
      <c r="J56" s="15"/>
    </row>
    <row r="58" spans="1:10">
      <c r="B58" s="16" t="s">
        <v>49</v>
      </c>
      <c r="C58" s="16" t="s">
        <v>50</v>
      </c>
      <c r="D58" s="16" t="s">
        <v>51</v>
      </c>
      <c r="E58" s="16" t="s">
        <v>52</v>
      </c>
      <c r="F58" s="16" t="s">
        <v>53</v>
      </c>
    </row>
    <row r="59" spans="1:10">
      <c r="A59" s="78" t="s">
        <v>39</v>
      </c>
      <c r="B59" s="78"/>
      <c r="C59" s="78"/>
      <c r="D59" s="78"/>
      <c r="E59" s="78"/>
      <c r="F59" s="78"/>
      <c r="G59" s="78"/>
      <c r="H59" s="5" t="s">
        <v>0</v>
      </c>
    </row>
    <row r="60" spans="1:10">
      <c r="A60" s="78" t="s">
        <v>38</v>
      </c>
      <c r="B60" s="78"/>
      <c r="C60" s="78"/>
      <c r="D60" s="78"/>
      <c r="E60" s="78"/>
      <c r="F60" s="78"/>
      <c r="G60" s="78"/>
    </row>
    <row r="61" spans="1:10">
      <c r="A61" s="78" t="s">
        <v>40</v>
      </c>
      <c r="B61" s="78"/>
      <c r="C61" s="78"/>
      <c r="D61" s="78"/>
      <c r="E61" s="78"/>
      <c r="F61" s="78"/>
      <c r="G61" s="78"/>
    </row>
    <row r="62" spans="1:10">
      <c r="A62" s="78" t="s">
        <v>41</v>
      </c>
      <c r="B62" s="78"/>
      <c r="C62" s="78"/>
      <c r="D62" s="78"/>
      <c r="E62" s="78"/>
      <c r="F62" s="78"/>
      <c r="G62" s="78"/>
    </row>
    <row r="63" spans="1:10">
      <c r="A63" s="78"/>
      <c r="B63" s="78"/>
      <c r="C63" s="78"/>
      <c r="D63" s="78"/>
      <c r="E63" s="78"/>
      <c r="F63" s="78"/>
      <c r="G63" s="78"/>
    </row>
    <row r="64" spans="1:10">
      <c r="A64" s="78"/>
      <c r="B64" s="78"/>
      <c r="C64" s="78"/>
      <c r="D64" s="78"/>
      <c r="E64" s="78"/>
      <c r="F64" s="78"/>
      <c r="G64" s="78"/>
    </row>
    <row r="65" spans="1:7">
      <c r="A65" s="78"/>
      <c r="B65" s="78"/>
      <c r="C65" s="78"/>
      <c r="D65" s="78"/>
      <c r="E65" s="78"/>
      <c r="F65" s="78"/>
      <c r="G65" s="78"/>
    </row>
    <row r="66" spans="1:7">
      <c r="A66" s="78"/>
      <c r="B66" s="78"/>
      <c r="C66" s="78"/>
      <c r="D66" s="78"/>
      <c r="E66" s="78"/>
      <c r="F66" s="78"/>
      <c r="G66" s="78"/>
    </row>
    <row r="67" spans="1:7">
      <c r="A67" s="78"/>
      <c r="B67" s="78"/>
      <c r="C67" s="78"/>
      <c r="D67" s="78"/>
      <c r="E67" s="78"/>
      <c r="F67" s="78"/>
      <c r="G67" s="78"/>
    </row>
    <row r="68" spans="1:7">
      <c r="A68" s="78"/>
      <c r="B68" s="78"/>
      <c r="C68" s="78"/>
      <c r="D68" s="78"/>
      <c r="E68" s="78"/>
      <c r="F68" s="78"/>
      <c r="G68" s="78"/>
    </row>
    <row r="69" spans="1:7">
      <c r="A69" s="78"/>
      <c r="B69" s="78"/>
      <c r="C69" s="78"/>
      <c r="D69" s="78"/>
      <c r="E69" s="78"/>
      <c r="F69" s="78"/>
      <c r="G69" s="78"/>
    </row>
    <row r="70" spans="1:7">
      <c r="A70" s="78"/>
      <c r="B70" s="78"/>
      <c r="C70" s="78"/>
      <c r="D70" s="78"/>
      <c r="E70" s="78"/>
      <c r="F70" s="78"/>
      <c r="G70" s="78"/>
    </row>
    <row r="78" spans="1:7">
      <c r="A78" s="15"/>
      <c r="B78" s="15"/>
      <c r="C78" s="15"/>
      <c r="D78" s="194"/>
      <c r="E78" s="15"/>
      <c r="F78" s="15"/>
      <c r="G78" s="15"/>
    </row>
    <row r="79" spans="1:7">
      <c r="D79" s="194"/>
    </row>
  </sheetData>
  <sheetProtection password="DEB3" sheet="1" objects="1" scenarios="1"/>
  <mergeCells count="8">
    <mergeCell ref="B10:C10"/>
    <mergeCell ref="E10:F10"/>
    <mergeCell ref="E9:F9"/>
    <mergeCell ref="B5:C5"/>
    <mergeCell ref="B6:C6"/>
    <mergeCell ref="B7:C7"/>
    <mergeCell ref="B8:C8"/>
    <mergeCell ref="B9:C9"/>
  </mergeCells>
  <dataValidations xWindow="498" yWindow="602" count="13">
    <dataValidation type="list" allowBlank="1" showInputMessage="1" showErrorMessage="1" promptTitle="237 ES.Calcul Aide" prompt="Déroulez et faire le choix parmis les prositions qui se présentent. Si votre choix est autre, précisé le type que vous souhaitez dans la cellule directement à droite (D19)." sqref="C19">
      <formula1>"Alimentation domestique,Eclairage domestique,Eclairage public,Vidéo surveillance,Autre (précisé):"</formula1>
    </dataValidation>
    <dataValidation type="list" allowBlank="1" showInputMessage="1" showErrorMessage="1" promptTitle="237 ES.Calcul Aide" prompt="Pour le type choisi, remplir soignesement la section qui lui correspond en suite. " sqref="C22">
      <formula1>"Sur toiture existante,Au sol,Sur Dâle,En ombrière,Sur poteau,Autre (précisé) :"</formula1>
    </dataValidation>
    <dataValidation type="list" allowBlank="1" showInputMessage="1" showErrorMessage="1" sqref="C54">
      <formula1>"Autonome, Hybride (batterie+ groupe électrogène),Autres (précisé):"</formula1>
    </dataValidation>
    <dataValidation allowBlank="1" showInputMessage="1" showErrorMessage="1" errorTitle="237 ES.Calcul Erreur" error="Entrer la coordonnée de longitude sous la forme XX°YY'ZZ&quot;. Exemple : 11°23'45&quot; au lieu de 011°23'45,012&quot;" promptTitle="237 ES.Calcul Aide" prompt="Entrer cordonnée en  Degré, Minute, Seconde. Sous la forme XX°YY'ZZ&quot;" sqref="B15"/>
    <dataValidation allowBlank="1" showInputMessage="1" showErrorMessage="1" prompt="Cordonnée en degré décimal" sqref="C14:C15"/>
    <dataValidation type="list" allowBlank="1" showInputMessage="1" showErrorMessage="1" sqref="B31:E32">
      <formula1>"Bonne,Nauvaise"</formula1>
    </dataValidation>
    <dataValidation allowBlank="1" showInputMessage="1" showErrorMessage="1" prompt="C'est l'angle entre le plan du toit et l'horizontale." sqref="B28:E28"/>
    <dataValidation allowBlank="1" showInputMessage="1" showErrorMessage="1" prompt="C'est l'angle du toit par rapport à la direction plein sud. -90° pour le plain Est, 0° pour le plein Sud et 90° pour le plein Ouest." sqref="B29:E29"/>
    <dataValidation allowBlank="1" showInputMessage="1" showErrorMessage="1" prompt="Entrer la distance entre le toit et le futur possible local technique." sqref="B30:E30"/>
    <dataValidation allowBlank="1" showInputMessage="1" showErrorMessage="1" promptTitle="237 ES.Calcul Aide" prompt="Entrer la distance séparant l'espace possible d'installation des panneaux et le possible futur local technique." sqref="C51"/>
    <dataValidation showInputMessage="1" showErrorMessage="1" errorTitle="237 ES.Calcul Erreur" error="Entrer la coordonnée de latitude sous la forme X°YY'ZZ&quot;. Exemple: 3°14'19&quot; au lieu de 03°14'19&quot;" promptTitle="237 ES.Calcul Aide" prompt="Entrer cordonnée en  Degré, Minute, Seconde. Sous la forme X°YY'ZZ&quot;" sqref="B14"/>
    <dataValidation allowBlank="1" showInputMessage="1" showErrorMessage="1" promptTitle="237 ES.Calcul Aide" sqref="B16"/>
    <dataValidation allowBlank="1" showInputMessage="1" showErrorMessage="1" promptTitle="237 ES.Calcul Aide" prompt="Entrer la distance séparant l'espace possible d'installation des panneaux et le possible futur local technique." sqref="C39"/>
  </dataValidations>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sheetPr codeName="Feuil5">
    <tabColor rgb="FF92D050"/>
  </sheetPr>
  <dimension ref="A1:T26"/>
  <sheetViews>
    <sheetView zoomScale="84" zoomScaleNormal="84" workbookViewId="0">
      <pane ySplit="1" topLeftCell="A2" activePane="bottomLeft" state="frozen"/>
      <selection activeCell="P16" sqref="P16"/>
      <selection pane="bottomLeft" activeCell="K3" sqref="K3"/>
    </sheetView>
  </sheetViews>
  <sheetFormatPr baseColWidth="10" defaultColWidth="11.42578125" defaultRowHeight="15"/>
  <cols>
    <col min="1" max="2" width="11.42578125" style="207"/>
    <col min="3" max="4" width="10.85546875" style="207" customWidth="1"/>
    <col min="5" max="5" width="10.5703125" style="207" customWidth="1"/>
    <col min="6" max="6" width="10.7109375" style="207" customWidth="1"/>
    <col min="7" max="7" width="8.28515625" style="207" customWidth="1"/>
    <col min="8" max="8" width="5.28515625" style="207" customWidth="1"/>
    <col min="9" max="16384" width="11.42578125" style="207"/>
  </cols>
  <sheetData>
    <row r="1" spans="1:13" ht="48.75" customHeight="1"/>
    <row r="2" spans="1:13" ht="21.75" customHeight="1">
      <c r="A2" s="303" t="s">
        <v>304</v>
      </c>
      <c r="B2" s="303"/>
      <c r="C2" s="303"/>
      <c r="D2" s="303"/>
      <c r="E2" s="303"/>
      <c r="F2" s="303"/>
    </row>
    <row r="3" spans="1:13" ht="17.25">
      <c r="B3" s="187" t="s">
        <v>65</v>
      </c>
      <c r="C3" s="175" t="s">
        <v>301</v>
      </c>
      <c r="D3" s="175" t="s">
        <v>302</v>
      </c>
      <c r="E3" s="175" t="s">
        <v>79</v>
      </c>
      <c r="F3" s="182" t="s">
        <v>303</v>
      </c>
      <c r="I3" s="164" t="s">
        <v>65</v>
      </c>
      <c r="J3" s="165" t="s">
        <v>291</v>
      </c>
      <c r="K3" s="165" t="s">
        <v>292</v>
      </c>
      <c r="L3" s="165" t="s">
        <v>80</v>
      </c>
      <c r="M3" s="166" t="s">
        <v>293</v>
      </c>
    </row>
    <row r="4" spans="1:13" ht="17.25">
      <c r="B4" s="188" t="s">
        <v>66</v>
      </c>
      <c r="C4" s="184"/>
      <c r="D4" s="176"/>
      <c r="E4" s="179"/>
      <c r="F4" s="183"/>
      <c r="I4" s="167" t="s">
        <v>66</v>
      </c>
      <c r="J4" s="168">
        <f>C4/1000</f>
        <v>0</v>
      </c>
      <c r="K4" s="168">
        <f>D4/1000</f>
        <v>0</v>
      </c>
      <c r="L4" s="168">
        <f>E4/1000</f>
        <v>0</v>
      </c>
      <c r="M4" s="169">
        <f>F4</f>
        <v>0</v>
      </c>
    </row>
    <row r="5" spans="1:13" ht="17.25">
      <c r="B5" s="188" t="s">
        <v>67</v>
      </c>
      <c r="C5" s="185"/>
      <c r="D5" s="177"/>
      <c r="E5" s="180"/>
      <c r="F5" s="183"/>
      <c r="I5" s="167" t="s">
        <v>67</v>
      </c>
      <c r="J5" s="168">
        <f t="shared" ref="J5:J15" si="0">C5/1000</f>
        <v>0</v>
      </c>
      <c r="K5" s="168">
        <f t="shared" ref="K5:K15" si="1">D5/1000</f>
        <v>0</v>
      </c>
      <c r="L5" s="168">
        <f t="shared" ref="L5:L15" si="2">E5/1000</f>
        <v>0</v>
      </c>
      <c r="M5" s="169">
        <f t="shared" ref="M5:M16" si="3">F5</f>
        <v>0</v>
      </c>
    </row>
    <row r="6" spans="1:13" ht="17.25">
      <c r="B6" s="188" t="s">
        <v>68</v>
      </c>
      <c r="C6" s="185"/>
      <c r="D6" s="177"/>
      <c r="E6" s="180"/>
      <c r="F6" s="183"/>
      <c r="I6" s="167" t="s">
        <v>68</v>
      </c>
      <c r="J6" s="168">
        <f t="shared" si="0"/>
        <v>0</v>
      </c>
      <c r="K6" s="168">
        <f t="shared" si="1"/>
        <v>0</v>
      </c>
      <c r="L6" s="168">
        <f t="shared" si="2"/>
        <v>0</v>
      </c>
      <c r="M6" s="169">
        <f t="shared" si="3"/>
        <v>0</v>
      </c>
    </row>
    <row r="7" spans="1:13" ht="17.25">
      <c r="B7" s="188" t="s">
        <v>69</v>
      </c>
      <c r="C7" s="185"/>
      <c r="D7" s="177"/>
      <c r="E7" s="180"/>
      <c r="F7" s="183"/>
      <c r="I7" s="167" t="s">
        <v>69</v>
      </c>
      <c r="J7" s="168">
        <f t="shared" si="0"/>
        <v>0</v>
      </c>
      <c r="K7" s="168">
        <f t="shared" si="1"/>
        <v>0</v>
      </c>
      <c r="L7" s="168">
        <f t="shared" si="2"/>
        <v>0</v>
      </c>
      <c r="M7" s="169">
        <f t="shared" si="3"/>
        <v>0</v>
      </c>
    </row>
    <row r="8" spans="1:13" ht="17.25">
      <c r="B8" s="188" t="s">
        <v>70</v>
      </c>
      <c r="C8" s="185"/>
      <c r="D8" s="177"/>
      <c r="E8" s="180"/>
      <c r="F8" s="183"/>
      <c r="I8" s="167" t="s">
        <v>70</v>
      </c>
      <c r="J8" s="168">
        <f t="shared" si="0"/>
        <v>0</v>
      </c>
      <c r="K8" s="168">
        <f t="shared" si="1"/>
        <v>0</v>
      </c>
      <c r="L8" s="168">
        <f t="shared" si="2"/>
        <v>0</v>
      </c>
      <c r="M8" s="169">
        <f t="shared" si="3"/>
        <v>0</v>
      </c>
    </row>
    <row r="9" spans="1:13" ht="17.25">
      <c r="B9" s="188" t="s">
        <v>71</v>
      </c>
      <c r="C9" s="185"/>
      <c r="D9" s="177"/>
      <c r="E9" s="180"/>
      <c r="F9" s="183"/>
      <c r="I9" s="167" t="s">
        <v>71</v>
      </c>
      <c r="J9" s="168">
        <f t="shared" si="0"/>
        <v>0</v>
      </c>
      <c r="K9" s="168">
        <f t="shared" si="1"/>
        <v>0</v>
      </c>
      <c r="L9" s="168">
        <f t="shared" si="2"/>
        <v>0</v>
      </c>
      <c r="M9" s="169">
        <f t="shared" si="3"/>
        <v>0</v>
      </c>
    </row>
    <row r="10" spans="1:13" ht="17.25">
      <c r="B10" s="188" t="s">
        <v>72</v>
      </c>
      <c r="C10" s="185"/>
      <c r="D10" s="177"/>
      <c r="E10" s="180"/>
      <c r="F10" s="183"/>
      <c r="I10" s="167" t="s">
        <v>72</v>
      </c>
      <c r="J10" s="168">
        <f t="shared" si="0"/>
        <v>0</v>
      </c>
      <c r="K10" s="168">
        <f t="shared" si="1"/>
        <v>0</v>
      </c>
      <c r="L10" s="168">
        <f t="shared" si="2"/>
        <v>0</v>
      </c>
      <c r="M10" s="169">
        <f t="shared" si="3"/>
        <v>0</v>
      </c>
    </row>
    <row r="11" spans="1:13" ht="17.25">
      <c r="B11" s="188" t="s">
        <v>73</v>
      </c>
      <c r="C11" s="185"/>
      <c r="D11" s="177"/>
      <c r="E11" s="180"/>
      <c r="F11" s="183"/>
      <c r="I11" s="167" t="s">
        <v>73</v>
      </c>
      <c r="J11" s="168">
        <f t="shared" si="0"/>
        <v>0</v>
      </c>
      <c r="K11" s="168">
        <f t="shared" si="1"/>
        <v>0</v>
      </c>
      <c r="L11" s="168">
        <f t="shared" si="2"/>
        <v>0</v>
      </c>
      <c r="M11" s="169">
        <f t="shared" si="3"/>
        <v>0</v>
      </c>
    </row>
    <row r="12" spans="1:13" ht="17.25">
      <c r="B12" s="188" t="s">
        <v>74</v>
      </c>
      <c r="C12" s="185"/>
      <c r="D12" s="177"/>
      <c r="E12" s="180"/>
      <c r="F12" s="183"/>
      <c r="I12" s="167" t="s">
        <v>74</v>
      </c>
      <c r="J12" s="168">
        <f t="shared" si="0"/>
        <v>0</v>
      </c>
      <c r="K12" s="168">
        <f t="shared" si="1"/>
        <v>0</v>
      </c>
      <c r="L12" s="168">
        <f t="shared" si="2"/>
        <v>0</v>
      </c>
      <c r="M12" s="169">
        <f t="shared" si="3"/>
        <v>0</v>
      </c>
    </row>
    <row r="13" spans="1:13" ht="17.25">
      <c r="B13" s="188" t="s">
        <v>75</v>
      </c>
      <c r="C13" s="185"/>
      <c r="D13" s="177"/>
      <c r="E13" s="180"/>
      <c r="F13" s="183"/>
      <c r="I13" s="167" t="s">
        <v>75</v>
      </c>
      <c r="J13" s="168">
        <f t="shared" si="0"/>
        <v>0</v>
      </c>
      <c r="K13" s="168">
        <f t="shared" si="1"/>
        <v>0</v>
      </c>
      <c r="L13" s="168">
        <f t="shared" si="2"/>
        <v>0</v>
      </c>
      <c r="M13" s="169">
        <f t="shared" si="3"/>
        <v>0</v>
      </c>
    </row>
    <row r="14" spans="1:13" ht="17.25">
      <c r="B14" s="188" t="s">
        <v>76</v>
      </c>
      <c r="C14" s="185"/>
      <c r="D14" s="177"/>
      <c r="E14" s="180"/>
      <c r="F14" s="183"/>
      <c r="I14" s="167" t="s">
        <v>76</v>
      </c>
      <c r="J14" s="168">
        <f t="shared" si="0"/>
        <v>0</v>
      </c>
      <c r="K14" s="168">
        <f t="shared" si="1"/>
        <v>0</v>
      </c>
      <c r="L14" s="168">
        <f t="shared" si="2"/>
        <v>0</v>
      </c>
      <c r="M14" s="169">
        <f t="shared" si="3"/>
        <v>0</v>
      </c>
    </row>
    <row r="15" spans="1:13" ht="17.25">
      <c r="B15" s="188" t="s">
        <v>77</v>
      </c>
      <c r="C15" s="186"/>
      <c r="D15" s="178"/>
      <c r="E15" s="181"/>
      <c r="F15" s="183"/>
      <c r="I15" s="167" t="s">
        <v>77</v>
      </c>
      <c r="J15" s="168">
        <f t="shared" si="0"/>
        <v>0</v>
      </c>
      <c r="K15" s="168">
        <f t="shared" si="1"/>
        <v>0</v>
      </c>
      <c r="L15" s="168">
        <f t="shared" si="2"/>
        <v>0</v>
      </c>
      <c r="M15" s="169">
        <f t="shared" si="3"/>
        <v>0</v>
      </c>
    </row>
    <row r="16" spans="1:13" ht="17.25">
      <c r="B16" s="188" t="s">
        <v>78</v>
      </c>
      <c r="C16" s="208" t="str">
        <f>IFERROR(ROUNDDOWN(AVERAGE(C4,C5,C6,C7,C8,C9,C10,C11,C12,C13,C14,C15),0),"")</f>
        <v/>
      </c>
      <c r="D16" s="208" t="str">
        <f>IFERROR(ROUNDDOWN(AVERAGE(D4,D5,D6,D7,D8,D9,D10,D11,D12,D13,D14,D15),0),"")</f>
        <v/>
      </c>
      <c r="E16" s="208" t="str">
        <f>IFERROR(ROUNDDOWN(AVERAGE(E4,E5,E6,E7,E8,E9,E10,E11,E12,E13,E14,E15),0),"")</f>
        <v/>
      </c>
      <c r="F16" s="211" t="str">
        <f>IFERROR(ROUNDDOWN(AVERAGE(F4,F5,F6,F7,F8,F9,F10,F11,F12,F13,F14,F15),0),"")</f>
        <v/>
      </c>
      <c r="I16" s="170" t="s">
        <v>78</v>
      </c>
      <c r="J16" s="171" t="str">
        <f>IFERROR((C16/1000),"")</f>
        <v/>
      </c>
      <c r="K16" s="171" t="str">
        <f>IFERROR((D16/1000),"")</f>
        <v/>
      </c>
      <c r="L16" s="171" t="str">
        <f>IFERROR((E16/1000),"")</f>
        <v/>
      </c>
      <c r="M16" s="172" t="str">
        <f t="shared" si="3"/>
        <v/>
      </c>
    </row>
    <row r="17" spans="1:20">
      <c r="C17" s="209"/>
      <c r="D17" s="209"/>
      <c r="E17" s="209"/>
    </row>
    <row r="18" spans="1:20" ht="17.25">
      <c r="A18" s="174"/>
      <c r="B18" s="173" t="s">
        <v>294</v>
      </c>
      <c r="C18" s="174"/>
      <c r="D18" s="174"/>
      <c r="E18" s="174"/>
      <c r="F18" s="174"/>
      <c r="G18" s="174"/>
      <c r="H18" s="174"/>
      <c r="I18" s="173" t="s">
        <v>295</v>
      </c>
      <c r="J18" s="174"/>
      <c r="K18" s="174"/>
      <c r="L18" s="174"/>
      <c r="M18" s="174"/>
      <c r="N18" s="174"/>
      <c r="O18" s="174" t="s">
        <v>81</v>
      </c>
      <c r="P18" s="174"/>
      <c r="Q18" s="174"/>
      <c r="R18" s="174"/>
      <c r="S18" s="174"/>
      <c r="T18" s="174"/>
    </row>
    <row r="19" spans="1:20" ht="17.25">
      <c r="A19" s="174"/>
      <c r="B19" s="173" t="s">
        <v>296</v>
      </c>
      <c r="C19" s="174"/>
      <c r="D19" s="174"/>
      <c r="E19" s="174"/>
      <c r="F19" s="174"/>
      <c r="G19" s="174"/>
      <c r="H19" s="174"/>
      <c r="I19" s="173" t="s">
        <v>297</v>
      </c>
      <c r="J19" s="174"/>
      <c r="K19" s="174"/>
      <c r="L19" s="174"/>
      <c r="M19" s="174"/>
      <c r="N19" s="174"/>
      <c r="O19" s="174" t="s">
        <v>82</v>
      </c>
      <c r="P19" s="174"/>
      <c r="Q19" s="174"/>
      <c r="R19" s="174"/>
      <c r="S19" s="174"/>
      <c r="T19" s="174"/>
    </row>
    <row r="20" spans="1:20" ht="17.25">
      <c r="A20" s="174"/>
      <c r="B20" s="173" t="s">
        <v>298</v>
      </c>
      <c r="C20" s="174"/>
      <c r="D20" s="174"/>
      <c r="E20" s="174"/>
      <c r="F20" s="174"/>
      <c r="G20" s="174"/>
      <c r="H20" s="174"/>
      <c r="I20" s="173" t="s">
        <v>299</v>
      </c>
      <c r="J20" s="174"/>
      <c r="K20" s="174"/>
      <c r="L20" s="174"/>
      <c r="M20" s="174"/>
      <c r="N20" s="174"/>
      <c r="O20" s="174" t="s">
        <v>83</v>
      </c>
      <c r="P20" s="174"/>
      <c r="Q20" s="174"/>
      <c r="R20" s="174"/>
      <c r="S20" s="174"/>
      <c r="T20" s="174"/>
    </row>
    <row r="21" spans="1:20" ht="15.75">
      <c r="A21" s="174"/>
      <c r="B21" s="174" t="s">
        <v>300</v>
      </c>
      <c r="C21" s="174"/>
      <c r="D21" s="174"/>
      <c r="E21" s="174"/>
      <c r="F21" s="174"/>
      <c r="G21" s="174"/>
      <c r="H21" s="174"/>
      <c r="I21" s="174" t="s">
        <v>300</v>
      </c>
      <c r="J21" s="174"/>
      <c r="K21" s="174"/>
      <c r="L21" s="174"/>
      <c r="M21" s="174"/>
      <c r="N21" s="174"/>
      <c r="O21" s="174"/>
      <c r="P21" s="174"/>
      <c r="Q21" s="174"/>
      <c r="R21" s="174"/>
      <c r="S21" s="174"/>
      <c r="T21" s="174"/>
    </row>
    <row r="23" spans="1:20" ht="17.25">
      <c r="C23" s="304" t="s">
        <v>307</v>
      </c>
      <c r="D23" s="304"/>
      <c r="E23" s="304"/>
      <c r="F23" s="304"/>
      <c r="G23" s="304"/>
      <c r="H23" s="189"/>
    </row>
    <row r="24" spans="1:20" ht="17.25">
      <c r="C24" s="304" t="s">
        <v>122</v>
      </c>
      <c r="D24" s="304"/>
      <c r="E24" s="304"/>
      <c r="F24" s="304"/>
      <c r="G24" s="304"/>
      <c r="H24" s="189"/>
    </row>
    <row r="26" spans="1:20">
      <c r="L26" s="210"/>
    </row>
  </sheetData>
  <sheetProtection password="DEB3" sheet="1" objects="1" scenarios="1"/>
  <mergeCells count="3">
    <mergeCell ref="A2:F2"/>
    <mergeCell ref="C23:G23"/>
    <mergeCell ref="C24:G24"/>
  </mergeCells>
  <dataValidations count="2">
    <dataValidation allowBlank="1" showInputMessage="1" showErrorMessage="1" promptTitle="237 ES.Calcul Aide" prompt="C'est l'angle entre le plan des panneaux photovoltaïques et l'horizontale" sqref="H23"/>
    <dataValidation allowBlank="1" showInputMessage="1" showErrorMessage="1" promptTitle="237 ES.Calcul Aide" prompt="C'est l'angle des panneax solaires photovoltaïques par rapport à la direction plein sud. -90° pour le plain Est, 0° pour le plein Sud et 90° pour le plein Ouest." sqref="H24"/>
  </dataValidation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sheetPr codeName="Feuil6">
    <tabColor rgb="FF92D050"/>
  </sheetPr>
  <dimension ref="A1:AP54"/>
  <sheetViews>
    <sheetView topLeftCell="E1" workbookViewId="0">
      <pane ySplit="1" topLeftCell="A20" activePane="bottomLeft" state="frozen"/>
      <selection activeCell="P16" sqref="P16"/>
      <selection pane="bottomLeft" activeCell="E23" sqref="E23:G23"/>
    </sheetView>
  </sheetViews>
  <sheetFormatPr baseColWidth="10" defaultColWidth="11.42578125" defaultRowHeight="15.75"/>
  <cols>
    <col min="1" max="1" width="11.42578125" style="27"/>
    <col min="2" max="2" width="26.7109375" style="27" customWidth="1"/>
    <col min="3" max="4" width="11.42578125" style="27" customWidth="1"/>
    <col min="5" max="5" width="11.42578125" style="27"/>
    <col min="6" max="6" width="12" style="27" bestFit="1" customWidth="1"/>
    <col min="7" max="7" width="28.28515625" style="27" customWidth="1"/>
    <col min="8" max="9" width="11.42578125" style="27" customWidth="1"/>
    <col min="10" max="11" width="11.42578125" style="27"/>
    <col min="12" max="12" width="12.42578125" style="27" customWidth="1"/>
    <col min="13" max="13" width="9.5703125" style="27" customWidth="1"/>
    <col min="14" max="14" width="9.28515625" style="27" customWidth="1"/>
    <col min="15" max="16384" width="11.42578125" style="27"/>
  </cols>
  <sheetData>
    <row r="1" spans="1:15" ht="29.25" customHeight="1"/>
    <row r="3" spans="1:15">
      <c r="A3" s="89" t="s">
        <v>190</v>
      </c>
      <c r="B3" s="339" t="s">
        <v>191</v>
      </c>
      <c r="C3" s="340"/>
      <c r="D3" s="44">
        <v>2</v>
      </c>
      <c r="E3" s="89">
        <f>'Besoin électrique'!H54*'Système PV'!D3%</f>
        <v>0.67359999999999987</v>
      </c>
      <c r="F3" s="89"/>
      <c r="G3" s="90" t="s">
        <v>84</v>
      </c>
      <c r="H3" s="43">
        <v>3.7</v>
      </c>
      <c r="I3" s="89" t="s">
        <v>94</v>
      </c>
      <c r="J3" s="89"/>
      <c r="K3" s="91"/>
      <c r="L3" s="89"/>
      <c r="M3" s="89"/>
      <c r="N3" s="89"/>
      <c r="O3" s="80"/>
    </row>
    <row r="4" spans="1:15" ht="16.5">
      <c r="A4" s="89" t="s">
        <v>192</v>
      </c>
      <c r="B4" s="341" t="s">
        <v>193</v>
      </c>
      <c r="C4" s="341"/>
      <c r="D4" s="92">
        <f>IFERROR('Besoin électrique'!H54+E3,"")</f>
        <v>34.353599999999993</v>
      </c>
      <c r="E4" s="89"/>
      <c r="F4" s="89"/>
      <c r="G4" s="90" t="s">
        <v>127</v>
      </c>
      <c r="H4" s="79">
        <f>IF(B7="Intégré au toit avec absence du MPPT",0.5,IF(B7="Intégré au toit avec présence du MPPT",0.55,IF(B7="Surimposition avec absence du MPPT",0.6,IF(B7="Surimposition avec présence du MPPT",0.65,IF(B7="Sur chassis avec absence du MPPT",0.7,IF(B7="Sur chassis avec présence du MPPT",0.75,D7))))))</f>
        <v>0.55000000000000004</v>
      </c>
      <c r="I4" s="89"/>
      <c r="J4" s="89"/>
      <c r="K4" s="89"/>
      <c r="L4" s="89"/>
      <c r="M4" s="89"/>
      <c r="N4" s="89"/>
      <c r="O4" s="80"/>
    </row>
    <row r="5" spans="1:15" ht="16.5">
      <c r="A5" s="89"/>
      <c r="B5" s="89"/>
      <c r="C5" s="89"/>
      <c r="D5" s="92">
        <f>IFERROR((D4*1000),"")</f>
        <v>34353.599999999991</v>
      </c>
      <c r="E5" s="89"/>
      <c r="F5" s="89"/>
      <c r="G5" s="90" t="s">
        <v>85</v>
      </c>
      <c r="H5" s="43">
        <v>48</v>
      </c>
      <c r="I5" s="89" t="s">
        <v>87</v>
      </c>
      <c r="J5" s="324" t="s">
        <v>211</v>
      </c>
      <c r="K5" s="324"/>
      <c r="L5" s="324"/>
      <c r="M5" s="93">
        <f>IFERROR(ROUND((H7*'Besoin électrique'!I54/H5)/(H6%*H8),0),"")</f>
        <v>43</v>
      </c>
      <c r="N5" s="89" t="s">
        <v>90</v>
      </c>
      <c r="O5" s="80"/>
    </row>
    <row r="6" spans="1:15" ht="16.5">
      <c r="A6" s="89" t="s">
        <v>128</v>
      </c>
      <c r="B6" s="89"/>
      <c r="C6" s="89"/>
      <c r="D6" s="89"/>
      <c r="E6" s="89"/>
      <c r="F6" s="339" t="s">
        <v>86</v>
      </c>
      <c r="G6" s="340"/>
      <c r="H6" s="43">
        <v>65</v>
      </c>
      <c r="I6" s="89" t="s">
        <v>89</v>
      </c>
      <c r="J6" s="324" t="s">
        <v>212</v>
      </c>
      <c r="K6" s="324"/>
      <c r="L6" s="324"/>
      <c r="M6" s="93">
        <f>IFERROR(ROUNDUP(M7*1000,0),"")</f>
        <v>16882</v>
      </c>
      <c r="N6" s="89" t="s">
        <v>92</v>
      </c>
      <c r="O6" s="80"/>
    </row>
    <row r="7" spans="1:15">
      <c r="A7" s="89"/>
      <c r="B7" s="329" t="s">
        <v>392</v>
      </c>
      <c r="C7" s="330"/>
      <c r="D7" s="43"/>
      <c r="E7" s="94"/>
      <c r="F7" s="339" t="s">
        <v>88</v>
      </c>
      <c r="G7" s="340"/>
      <c r="H7" s="43">
        <v>3</v>
      </c>
      <c r="I7" s="89" t="s">
        <v>91</v>
      </c>
      <c r="J7" s="89"/>
      <c r="K7" s="89"/>
      <c r="L7" s="89"/>
      <c r="M7" s="93">
        <f>IFERROR((D4*1)/(H3*H4),"")</f>
        <v>16.881375921375916</v>
      </c>
      <c r="N7" s="89" t="s">
        <v>93</v>
      </c>
      <c r="O7" s="80"/>
    </row>
    <row r="8" spans="1:15">
      <c r="A8" s="331" t="s">
        <v>129</v>
      </c>
      <c r="B8" s="331"/>
      <c r="C8" s="332"/>
      <c r="D8" s="43">
        <v>30</v>
      </c>
      <c r="E8" s="89" t="s">
        <v>130</v>
      </c>
      <c r="F8" s="339" t="s">
        <v>95</v>
      </c>
      <c r="G8" s="339"/>
      <c r="H8" s="79">
        <f>IF(D8=-20,0.8,IF(D8=-10,0.85,IF(D8=0,0.9,IF(D8=10,0.95,IF(D8=20,1,IF(D8=30,1.04,IF(D8=40,1.1,IF(D8=50,1.13,"-"))))))))</f>
        <v>1.04</v>
      </c>
      <c r="I8" s="89"/>
      <c r="J8" s="89"/>
      <c r="K8" s="89"/>
      <c r="L8" s="89"/>
      <c r="M8" s="89"/>
      <c r="N8" s="89"/>
      <c r="O8" s="80"/>
    </row>
    <row r="9" spans="1:15" ht="16.5" customHeight="1"/>
    <row r="10" spans="1:15" ht="16.5">
      <c r="A10" s="325" t="s">
        <v>194</v>
      </c>
      <c r="B10" s="325"/>
      <c r="C10" s="325"/>
      <c r="D10" s="325"/>
      <c r="E10" s="325"/>
      <c r="F10" s="325"/>
      <c r="G10" s="325"/>
      <c r="H10" s="316" t="s">
        <v>99</v>
      </c>
      <c r="I10" s="316"/>
      <c r="J10" s="95">
        <f>IFERROR(ROUNDDOWN(H5/C14,0),"")</f>
        <v>4</v>
      </c>
      <c r="K10" s="96"/>
      <c r="L10" s="81"/>
      <c r="M10" s="81"/>
      <c r="N10" s="82"/>
      <c r="O10" s="82"/>
    </row>
    <row r="11" spans="1:15" ht="16.5">
      <c r="A11" s="97" t="s">
        <v>103</v>
      </c>
      <c r="B11" s="97"/>
      <c r="C11" s="191"/>
      <c r="D11" s="97"/>
      <c r="E11" s="97"/>
      <c r="F11" s="97"/>
      <c r="G11" s="97"/>
      <c r="H11" s="316" t="s">
        <v>118</v>
      </c>
      <c r="I11" s="316"/>
      <c r="J11" s="95">
        <f>IFERROR(ROUNDUP(M5/C13,0),"")</f>
        <v>1</v>
      </c>
      <c r="K11" s="96"/>
      <c r="L11" s="81"/>
      <c r="M11" s="81"/>
      <c r="N11" s="82"/>
      <c r="O11" s="82"/>
    </row>
    <row r="12" spans="1:15" ht="16.5">
      <c r="A12" s="97" t="s">
        <v>98</v>
      </c>
      <c r="B12" s="97"/>
      <c r="C12" s="192" t="s">
        <v>393</v>
      </c>
      <c r="D12" s="97"/>
      <c r="E12" s="97"/>
      <c r="F12" s="97"/>
      <c r="G12" s="97"/>
      <c r="H12" s="321" t="s">
        <v>102</v>
      </c>
      <c r="I12" s="321"/>
      <c r="J12" s="95">
        <f>IFERROR(J10*C14,"")</f>
        <v>48</v>
      </c>
      <c r="K12" s="96" t="s">
        <v>87</v>
      </c>
      <c r="L12" s="81"/>
      <c r="M12" s="81"/>
      <c r="N12" s="82"/>
      <c r="O12" s="82"/>
    </row>
    <row r="13" spans="1:15" ht="16.5">
      <c r="A13" s="97" t="s">
        <v>97</v>
      </c>
      <c r="B13" s="97"/>
      <c r="C13" s="191">
        <v>200</v>
      </c>
      <c r="D13" s="97" t="s">
        <v>90</v>
      </c>
      <c r="E13" s="97"/>
      <c r="F13" s="97"/>
      <c r="G13" s="97"/>
      <c r="H13" s="321" t="s">
        <v>100</v>
      </c>
      <c r="I13" s="321"/>
      <c r="J13" s="95">
        <f>IFERROR(C13*J11,"")</f>
        <v>200</v>
      </c>
      <c r="K13" s="96" t="s">
        <v>90</v>
      </c>
      <c r="L13" s="81"/>
      <c r="M13" s="81"/>
      <c r="N13" s="82"/>
      <c r="O13" s="82"/>
    </row>
    <row r="14" spans="1:15" ht="16.5">
      <c r="A14" s="97" t="s">
        <v>96</v>
      </c>
      <c r="B14" s="97"/>
      <c r="C14" s="191">
        <v>12</v>
      </c>
      <c r="D14" s="97" t="s">
        <v>87</v>
      </c>
      <c r="E14" s="97"/>
      <c r="F14" s="97"/>
      <c r="G14" s="97"/>
      <c r="H14" s="316" t="s">
        <v>101</v>
      </c>
      <c r="I14" s="316"/>
      <c r="J14" s="95">
        <f>IFERROR(J10*J11,"")</f>
        <v>4</v>
      </c>
      <c r="K14" s="96"/>
      <c r="L14" s="81"/>
      <c r="M14" s="81"/>
      <c r="N14" s="82"/>
      <c r="O14" s="82"/>
    </row>
    <row r="16" spans="1:15" ht="17.25">
      <c r="A16" s="323" t="s">
        <v>290</v>
      </c>
      <c r="B16" s="323"/>
      <c r="C16" s="323"/>
      <c r="D16" s="323"/>
      <c r="E16" s="159">
        <f>IF(H5=0,"",H5)</f>
        <v>48</v>
      </c>
      <c r="F16" s="160" t="s">
        <v>87</v>
      </c>
      <c r="G16" s="159">
        <f>IFERROR(IF((C31*0.98)/H5&lt;=5,5,IF((C31*0.98)/H5&lt;=10,10,IF((C31*0.98)/H5&lt;=15,15,IF((C31*0.98)/H5&lt;=20,20,IF((C31*0.98)/H5&lt;=25,25,IF((C31*0.98)/H5&lt;=30,30,IF((C31*0.98)/H5&lt;=35,35,IF((C31*0.98)/H5&lt;=40,40,IF((C31*0.98)/H5&lt;=45,45,IF((C31*0.98)/H5&lt;=50,50,IF((C31*0.98)/H5&lt;=55,55,IF((C31*0.98)/H5&lt;=60,60,IF((C31*0.98)/H5&lt;=65,65,IF((C31*0.98)/H5&lt;=70,70,IF((C31*0.98)/H5&lt;=75,75,IF((C31*0.98)/H5&lt;=80,80,IF((C31*0.98)/H5&lt;=85,85,IF((C31*0.98)/H5&lt;=90,90,IF((C31*0.98)/H5&lt;=95,95,IF((C31*0.98)/H5&lt;=100,100,105)))))))))))))))))))),"")</f>
        <v>105</v>
      </c>
      <c r="H16" s="161" t="s">
        <v>108</v>
      </c>
      <c r="I16" s="161"/>
      <c r="J16" s="212"/>
      <c r="K16" s="212"/>
      <c r="L16" s="212"/>
      <c r="M16" s="212"/>
      <c r="N16" s="80"/>
    </row>
    <row r="17" spans="1:15" ht="17.25">
      <c r="A17" s="309" t="s">
        <v>104</v>
      </c>
      <c r="B17" s="309"/>
      <c r="C17" s="309"/>
      <c r="D17" s="309"/>
      <c r="E17" s="309"/>
      <c r="F17" s="309"/>
      <c r="G17" s="309"/>
      <c r="H17" s="309"/>
      <c r="I17" s="309"/>
      <c r="J17" s="309"/>
      <c r="K17" s="98"/>
      <c r="L17" s="98"/>
      <c r="M17" s="98"/>
      <c r="N17" s="98"/>
      <c r="O17" s="29"/>
    </row>
    <row r="18" spans="1:15" ht="17.25">
      <c r="A18" s="338" t="s">
        <v>195</v>
      </c>
      <c r="B18" s="338"/>
      <c r="C18" s="338"/>
      <c r="D18" s="338"/>
      <c r="E18" s="326" t="s">
        <v>203</v>
      </c>
      <c r="F18" s="327"/>
      <c r="G18" s="327"/>
      <c r="H18" s="327"/>
      <c r="I18" s="99"/>
      <c r="J18" s="333" t="s">
        <v>202</v>
      </c>
      <c r="K18" s="333"/>
      <c r="L18" s="333"/>
      <c r="M18" s="333"/>
      <c r="N18" s="333"/>
      <c r="O18" s="28"/>
    </row>
    <row r="19" spans="1:15" ht="17.25">
      <c r="A19" s="322" t="s">
        <v>106</v>
      </c>
      <c r="B19" s="322"/>
      <c r="C19" s="334" t="s">
        <v>394</v>
      </c>
      <c r="D19" s="335"/>
      <c r="E19" s="328" t="s">
        <v>106</v>
      </c>
      <c r="F19" s="308"/>
      <c r="G19" s="308"/>
      <c r="H19" s="318" t="s">
        <v>395</v>
      </c>
      <c r="I19" s="318"/>
      <c r="J19" s="306" t="s">
        <v>105</v>
      </c>
      <c r="K19" s="306"/>
      <c r="L19" s="306"/>
      <c r="M19" s="318"/>
      <c r="N19" s="318"/>
      <c r="O19" s="39"/>
    </row>
    <row r="20" spans="1:15" ht="16.5" customHeight="1">
      <c r="A20" s="100"/>
      <c r="B20" s="100" t="s">
        <v>105</v>
      </c>
      <c r="C20" s="336" t="s">
        <v>54</v>
      </c>
      <c r="D20" s="337"/>
      <c r="E20" s="328" t="s">
        <v>105</v>
      </c>
      <c r="F20" s="308"/>
      <c r="G20" s="308"/>
      <c r="H20" s="319"/>
      <c r="I20" s="320"/>
      <c r="J20" s="306" t="s">
        <v>106</v>
      </c>
      <c r="K20" s="306"/>
      <c r="L20" s="306"/>
      <c r="M20" s="318"/>
      <c r="N20" s="318"/>
      <c r="O20" s="39"/>
    </row>
    <row r="21" spans="1:15" ht="17.25">
      <c r="A21" s="307" t="s">
        <v>109</v>
      </c>
      <c r="B21" s="307"/>
      <c r="C21" s="107">
        <v>125</v>
      </c>
      <c r="D21" s="101" t="s">
        <v>92</v>
      </c>
      <c r="E21" s="308" t="s">
        <v>197</v>
      </c>
      <c r="F21" s="308"/>
      <c r="G21" s="308"/>
      <c r="H21" s="44">
        <v>12</v>
      </c>
      <c r="I21" s="102"/>
      <c r="J21" s="306" t="s">
        <v>204</v>
      </c>
      <c r="K21" s="306"/>
      <c r="L21" s="306"/>
      <c r="M21" s="109"/>
      <c r="N21" s="103"/>
      <c r="O21" s="28"/>
    </row>
    <row r="22" spans="1:15" ht="17.25">
      <c r="A22" s="307" t="s">
        <v>110</v>
      </c>
      <c r="B22" s="307"/>
      <c r="C22" s="108">
        <v>34</v>
      </c>
      <c r="D22" s="101" t="s">
        <v>87</v>
      </c>
      <c r="E22" s="308" t="s">
        <v>198</v>
      </c>
      <c r="F22" s="308"/>
      <c r="G22" s="308"/>
      <c r="H22" s="151">
        <v>1600</v>
      </c>
      <c r="I22" s="102"/>
      <c r="J22" s="306" t="s">
        <v>205</v>
      </c>
      <c r="K22" s="306"/>
      <c r="L22" s="306"/>
      <c r="M22" s="109"/>
      <c r="N22" s="103"/>
      <c r="O22" s="28"/>
    </row>
    <row r="23" spans="1:15" ht="17.25">
      <c r="A23" s="307" t="s">
        <v>196</v>
      </c>
      <c r="B23" s="307"/>
      <c r="C23" s="108">
        <v>24</v>
      </c>
      <c r="D23" s="101" t="s">
        <v>108</v>
      </c>
      <c r="E23" s="308" t="s">
        <v>107</v>
      </c>
      <c r="F23" s="308"/>
      <c r="G23" s="308"/>
      <c r="H23" s="151">
        <v>136</v>
      </c>
      <c r="I23" s="102"/>
      <c r="J23" s="306" t="s">
        <v>107</v>
      </c>
      <c r="K23" s="306"/>
      <c r="L23" s="306"/>
      <c r="M23" s="109"/>
      <c r="N23" s="103"/>
      <c r="O23" s="28"/>
    </row>
    <row r="24" spans="1:15" ht="17.25">
      <c r="A24" s="307" t="s">
        <v>111</v>
      </c>
      <c r="B24" s="307"/>
      <c r="C24" s="108">
        <v>32</v>
      </c>
      <c r="D24" s="101" t="s">
        <v>87</v>
      </c>
      <c r="E24" s="308" t="s">
        <v>199</v>
      </c>
      <c r="F24" s="308"/>
      <c r="G24" s="308"/>
      <c r="H24" s="151">
        <v>23</v>
      </c>
      <c r="I24" s="102"/>
      <c r="J24" s="306" t="s">
        <v>206</v>
      </c>
      <c r="K24" s="306"/>
      <c r="L24" s="306"/>
      <c r="M24" s="109"/>
      <c r="N24" s="104"/>
      <c r="O24" s="28"/>
    </row>
    <row r="25" spans="1:15" ht="17.25">
      <c r="A25" s="307" t="s">
        <v>112</v>
      </c>
      <c r="B25" s="307"/>
      <c r="C25" s="108">
        <v>23</v>
      </c>
      <c r="D25" s="101" t="s">
        <v>108</v>
      </c>
      <c r="E25" s="308" t="s">
        <v>200</v>
      </c>
      <c r="F25" s="308"/>
      <c r="G25" s="308"/>
      <c r="H25" s="151">
        <v>32</v>
      </c>
      <c r="I25" s="102"/>
      <c r="J25" s="306" t="s">
        <v>207</v>
      </c>
      <c r="K25" s="306"/>
      <c r="L25" s="306"/>
      <c r="M25" s="109"/>
      <c r="N25" s="104"/>
      <c r="O25" s="28"/>
    </row>
    <row r="26" spans="1:15" ht="17.25">
      <c r="A26" s="307" t="s">
        <v>114</v>
      </c>
      <c r="B26" s="307"/>
      <c r="C26" s="108">
        <v>1.2</v>
      </c>
      <c r="D26" s="101" t="s">
        <v>113</v>
      </c>
      <c r="E26" s="308" t="s">
        <v>201</v>
      </c>
      <c r="F26" s="308"/>
      <c r="G26" s="308"/>
      <c r="H26" s="151">
        <v>12</v>
      </c>
      <c r="I26" s="102"/>
      <c r="J26" s="306" t="s">
        <v>208</v>
      </c>
      <c r="K26" s="306"/>
      <c r="L26" s="306"/>
      <c r="M26" s="109"/>
      <c r="N26" s="104"/>
      <c r="O26" s="28"/>
    </row>
    <row r="27" spans="1:15" ht="17.25">
      <c r="A27" s="307" t="s">
        <v>115</v>
      </c>
      <c r="B27" s="307"/>
      <c r="C27" s="108">
        <v>0.5</v>
      </c>
      <c r="D27" s="101" t="s">
        <v>113</v>
      </c>
      <c r="E27" s="102"/>
      <c r="F27" s="102"/>
      <c r="G27" s="102"/>
      <c r="H27" s="102"/>
      <c r="I27" s="102"/>
      <c r="J27" s="105"/>
      <c r="K27" s="105"/>
      <c r="L27" s="105"/>
      <c r="M27" s="105"/>
      <c r="N27" s="105"/>
      <c r="O27" s="28"/>
    </row>
    <row r="28" spans="1:15" ht="17.25">
      <c r="A28" s="307" t="s">
        <v>116</v>
      </c>
      <c r="B28" s="307"/>
      <c r="C28" s="106">
        <f>IF((C26*C27)=0,"",C26*C27)</f>
        <v>0.6</v>
      </c>
      <c r="D28" s="101" t="s">
        <v>117</v>
      </c>
      <c r="E28" s="102"/>
      <c r="F28" s="102"/>
      <c r="G28" s="102"/>
      <c r="H28" s="102"/>
      <c r="I28" s="102"/>
      <c r="J28" s="105"/>
      <c r="K28" s="105"/>
      <c r="L28" s="105"/>
      <c r="M28" s="105"/>
      <c r="N28" s="105"/>
      <c r="O28" s="28"/>
    </row>
    <row r="29" spans="1:15" ht="16.5">
      <c r="A29" s="42"/>
      <c r="B29" s="42"/>
      <c r="C29" s="41"/>
      <c r="D29" s="41"/>
      <c r="E29" s="32"/>
      <c r="F29" s="32"/>
      <c r="G29" s="32"/>
      <c r="H29" s="32"/>
      <c r="I29" s="32"/>
      <c r="J29" s="32"/>
      <c r="K29" s="32"/>
      <c r="L29" s="32"/>
      <c r="M29" s="32"/>
      <c r="N29" s="32"/>
      <c r="O29" s="28"/>
    </row>
    <row r="30" spans="1:15" ht="17.25">
      <c r="A30" s="317" t="s">
        <v>213</v>
      </c>
      <c r="B30" s="317"/>
      <c r="C30" s="110">
        <f>IFERROR(ROUNDUP(M6/C21,0),"")</f>
        <v>136</v>
      </c>
      <c r="D30" s="305" t="s">
        <v>215</v>
      </c>
      <c r="E30" s="305"/>
      <c r="F30" s="111">
        <f>IFERROR((C28*C30),"")</f>
        <v>81.599999999999994</v>
      </c>
      <c r="G30" s="112" t="s">
        <v>117</v>
      </c>
      <c r="H30" s="113"/>
      <c r="I30" s="313" t="s">
        <v>222</v>
      </c>
      <c r="J30" s="313"/>
      <c r="K30" s="313"/>
      <c r="L30" s="313"/>
      <c r="M30" s="313"/>
      <c r="N30" s="114"/>
      <c r="O30" s="28"/>
    </row>
    <row r="31" spans="1:15" ht="17.25">
      <c r="A31" s="317" t="s">
        <v>214</v>
      </c>
      <c r="B31" s="317"/>
      <c r="C31" s="110">
        <f>IFERROR((C30*C21),"")</f>
        <v>17000</v>
      </c>
      <c r="D31" s="113" t="s">
        <v>92</v>
      </c>
      <c r="E31" s="113"/>
      <c r="F31" s="113"/>
      <c r="G31" s="115"/>
      <c r="H31" s="113"/>
      <c r="I31" s="116"/>
      <c r="J31" s="116"/>
      <c r="K31" s="116"/>
      <c r="L31" s="116"/>
      <c r="M31" s="116"/>
      <c r="N31" s="114"/>
      <c r="O31" s="28"/>
    </row>
    <row r="32" spans="1:15" ht="17.25">
      <c r="A32" s="113"/>
      <c r="B32" s="113"/>
      <c r="C32" s="110">
        <f>IFERROR((C31/1000),"")</f>
        <v>17</v>
      </c>
      <c r="D32" s="113" t="s">
        <v>93</v>
      </c>
      <c r="E32" s="113"/>
      <c r="F32" s="113"/>
      <c r="G32" s="115"/>
      <c r="H32" s="113"/>
      <c r="I32" s="315" t="s">
        <v>110</v>
      </c>
      <c r="J32" s="315"/>
      <c r="K32" s="315"/>
      <c r="L32" s="315"/>
      <c r="M32" s="117">
        <f>H36*C22</f>
        <v>442</v>
      </c>
      <c r="N32" s="114" t="s">
        <v>87</v>
      </c>
      <c r="O32" s="28"/>
    </row>
    <row r="33" spans="1:42" ht="17.25">
      <c r="A33" s="310" t="s">
        <v>248</v>
      </c>
      <c r="B33" s="311"/>
      <c r="C33" s="314" t="s">
        <v>396</v>
      </c>
      <c r="D33" s="314"/>
      <c r="E33" s="115" t="s">
        <v>221</v>
      </c>
      <c r="F33" s="118">
        <f>IF(C33="Entre 74 et 70",0.85,IF(C33="Entre 69 et 65",0.87,IF(C33="Entre 64 et 60",0.89,IF(C33="Entre 59 et 55",0.91,IF(C33="Entre 24 et 20",1.02,IF(C33="Entre 19 et 15",1.04,IF(C33="Entre 14 et 10",1.06,IF(C33="Entre 9 et 5",1.08,IF(C33="Entre 4 et 0",1.21,IF(C33="Entre -1 et -5",1.23,IF(C33="Entre -6 et -10",1.14,1)))))))))))</f>
        <v>0.87</v>
      </c>
      <c r="G33" s="118"/>
      <c r="H33" s="118"/>
      <c r="I33" s="315" t="s">
        <v>196</v>
      </c>
      <c r="J33" s="315"/>
      <c r="K33" s="315"/>
      <c r="L33" s="315"/>
      <c r="M33" s="117">
        <f>C23*H37</f>
        <v>24</v>
      </c>
      <c r="N33" s="119" t="s">
        <v>108</v>
      </c>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row>
    <row r="34" spans="1:42" ht="17.25">
      <c r="A34" s="310" t="s">
        <v>249</v>
      </c>
      <c r="B34" s="311"/>
      <c r="C34" s="314" t="s">
        <v>396</v>
      </c>
      <c r="D34" s="314"/>
      <c r="E34" s="115" t="s">
        <v>221</v>
      </c>
      <c r="F34" s="118">
        <f>IF(C34="Entre 74 et 70",0.85,IF(C34="Entre 69 et 65",0.87,IF(C34="Entre 64 et 60",0.89,IF(C34="Entre 59 et 55",0.91,IF(C34="Entre 24 et 20",1.02,IF(C34="Entre 19 et 15",1.04,IF(C34="Entre 14 et 10",1.06,IF(C34="Entre 9 et 5",1.08,IF(C34="Entre 4 et 0",1.21,IF(C34="Entre -1 et -5",1.23,IF(C34="Entre -6 et -10",1.14,1)))))))))))</f>
        <v>0.87</v>
      </c>
      <c r="G34" s="115"/>
      <c r="H34" s="113"/>
      <c r="I34" s="315" t="s">
        <v>111</v>
      </c>
      <c r="J34" s="315"/>
      <c r="K34" s="315"/>
      <c r="L34" s="315"/>
      <c r="M34" s="117">
        <f>C24*H36</f>
        <v>416</v>
      </c>
      <c r="N34" s="114" t="s">
        <v>87</v>
      </c>
      <c r="O34" s="39"/>
    </row>
    <row r="35" spans="1:42" ht="17.25">
      <c r="A35" s="305" t="s">
        <v>216</v>
      </c>
      <c r="B35" s="305"/>
      <c r="C35" s="110">
        <f>IFERROR(ROUNDUP(C31/H22,0),"")</f>
        <v>11</v>
      </c>
      <c r="D35" s="113"/>
      <c r="E35" s="113"/>
      <c r="F35" s="113"/>
      <c r="G35" s="115"/>
      <c r="H35" s="113"/>
      <c r="I35" s="315" t="s">
        <v>112</v>
      </c>
      <c r="J35" s="315"/>
      <c r="K35" s="315"/>
      <c r="L35" s="315"/>
      <c r="M35" s="117">
        <f>C25*H37</f>
        <v>23</v>
      </c>
      <c r="N35" s="114" t="s">
        <v>108</v>
      </c>
      <c r="O35" s="28"/>
    </row>
    <row r="36" spans="1:42" ht="17.25">
      <c r="A36" s="305" t="s">
        <v>217</v>
      </c>
      <c r="B36" s="305"/>
      <c r="C36" s="110">
        <f>IFERROR(ROUNDDOWN(H24/(C24*F34),0),"")</f>
        <v>0</v>
      </c>
      <c r="D36" s="312" t="s">
        <v>250</v>
      </c>
      <c r="E36" s="312"/>
      <c r="F36" s="312"/>
      <c r="G36" s="312"/>
      <c r="H36" s="193">
        <v>13</v>
      </c>
      <c r="I36" s="120"/>
      <c r="J36" s="120"/>
      <c r="K36" s="120"/>
      <c r="L36" s="120"/>
      <c r="M36" s="116"/>
      <c r="N36" s="114"/>
      <c r="O36" s="28"/>
    </row>
    <row r="37" spans="1:42" ht="17.25">
      <c r="A37" s="312" t="s">
        <v>218</v>
      </c>
      <c r="B37" s="312"/>
      <c r="C37" s="110">
        <f>IFERROR(ROUNDDOWN(H25/(C24*F33),0),"")</f>
        <v>1</v>
      </c>
      <c r="D37" s="312" t="s">
        <v>251</v>
      </c>
      <c r="E37" s="312"/>
      <c r="F37" s="312"/>
      <c r="G37" s="312"/>
      <c r="H37" s="193">
        <v>1</v>
      </c>
      <c r="I37" s="116"/>
      <c r="J37" s="116"/>
      <c r="K37" s="116"/>
      <c r="L37" s="116"/>
      <c r="M37" s="116"/>
      <c r="N37" s="114"/>
      <c r="O37" s="28"/>
    </row>
    <row r="38" spans="1:42" ht="17.25">
      <c r="A38" s="305" t="s">
        <v>219</v>
      </c>
      <c r="B38" s="305"/>
      <c r="C38" s="110">
        <f>IFERROR(ROUNDDOWN(H26/(C25*1.25),0),"")</f>
        <v>0</v>
      </c>
      <c r="D38" s="113"/>
      <c r="E38" s="113"/>
      <c r="F38" s="113"/>
      <c r="G38" s="115"/>
      <c r="H38" s="113"/>
      <c r="I38" s="120"/>
      <c r="J38" s="120"/>
      <c r="K38" s="120"/>
      <c r="L38" s="120"/>
      <c r="M38" s="116"/>
      <c r="N38" s="114"/>
      <c r="O38" s="28"/>
    </row>
    <row r="39" spans="1:42" ht="17.25">
      <c r="A39" s="305" t="s">
        <v>220</v>
      </c>
      <c r="B39" s="305"/>
      <c r="C39" s="110" t="str">
        <f>IFERROR(ROUNDUP(('Besoin électrique'!G54*1000)/'Système PV'!M21,0),"")</f>
        <v/>
      </c>
      <c r="D39" s="113"/>
      <c r="E39" s="113"/>
      <c r="F39" s="113"/>
      <c r="G39" s="115"/>
      <c r="H39" s="113"/>
      <c r="I39" s="120"/>
      <c r="J39" s="120"/>
      <c r="K39" s="120"/>
      <c r="L39" s="120"/>
      <c r="M39" s="116"/>
      <c r="N39" s="114"/>
      <c r="O39" s="28"/>
    </row>
    <row r="40" spans="1:42" ht="17.25">
      <c r="A40" s="113"/>
      <c r="B40" s="113"/>
      <c r="C40" s="113"/>
      <c r="D40" s="113"/>
      <c r="E40" s="113"/>
      <c r="F40" s="113"/>
      <c r="G40" s="115"/>
      <c r="H40" s="113"/>
      <c r="I40" s="121"/>
      <c r="J40" s="121"/>
      <c r="K40" s="121"/>
      <c r="L40" s="121"/>
      <c r="M40" s="122"/>
      <c r="N40" s="123"/>
      <c r="O40" s="31"/>
    </row>
    <row r="41" spans="1:42" ht="17.25">
      <c r="A41" s="85"/>
      <c r="B41" s="85"/>
      <c r="C41" s="86"/>
      <c r="D41" s="85"/>
      <c r="E41" s="85"/>
      <c r="F41" s="85"/>
      <c r="G41" s="85"/>
      <c r="H41" s="87"/>
      <c r="I41" s="82"/>
      <c r="J41" s="82"/>
      <c r="K41" s="82"/>
      <c r="L41" s="82"/>
      <c r="M41" s="88"/>
      <c r="N41" s="84"/>
      <c r="O41" s="31"/>
    </row>
    <row r="42" spans="1:42" ht="17.25">
      <c r="A42" s="85"/>
      <c r="B42" s="85"/>
      <c r="C42" s="86"/>
      <c r="D42" s="85"/>
      <c r="E42" s="85"/>
      <c r="F42" s="85"/>
      <c r="G42" s="85"/>
      <c r="H42" s="87"/>
      <c r="I42" s="88"/>
      <c r="J42" s="88"/>
      <c r="K42" s="88"/>
      <c r="L42" s="88"/>
      <c r="M42" s="88"/>
      <c r="N42" s="84"/>
      <c r="O42" s="31"/>
    </row>
    <row r="43" spans="1:42" ht="17.25">
      <c r="A43" s="72"/>
      <c r="B43" s="72"/>
      <c r="C43" s="73"/>
      <c r="D43" s="72"/>
      <c r="E43" s="72"/>
      <c r="F43" s="72"/>
      <c r="G43" s="72"/>
      <c r="H43" s="40"/>
      <c r="I43" s="40"/>
      <c r="J43" s="40"/>
      <c r="K43" s="40"/>
      <c r="L43" s="40"/>
      <c r="M43" s="40"/>
      <c r="N43" s="32"/>
      <c r="O43" s="31"/>
    </row>
    <row r="44" spans="1:42" ht="17.25">
      <c r="A44" s="72"/>
      <c r="B44" s="72"/>
      <c r="C44" s="73"/>
      <c r="D44" s="72"/>
      <c r="E44" s="72"/>
      <c r="F44" s="72"/>
      <c r="G44" s="72"/>
      <c r="H44" s="40"/>
      <c r="I44" s="40"/>
      <c r="J44" s="40"/>
      <c r="K44" s="40"/>
      <c r="L44" s="40"/>
      <c r="M44" s="40"/>
      <c r="N44" s="32"/>
      <c r="O44" s="31"/>
    </row>
    <row r="45" spans="1:42">
      <c r="A45" s="36"/>
      <c r="B45" s="36"/>
      <c r="C45" s="36"/>
      <c r="D45" s="36"/>
      <c r="E45" s="36"/>
      <c r="F45" s="38"/>
      <c r="G45" s="37"/>
      <c r="H45" s="32"/>
      <c r="I45" s="32"/>
      <c r="J45" s="32"/>
      <c r="K45" s="32"/>
      <c r="L45" s="32"/>
      <c r="M45" s="32"/>
      <c r="N45" s="32"/>
      <c r="O45" s="31"/>
    </row>
    <row r="46" spans="1:42">
      <c r="A46" s="36"/>
      <c r="B46" s="36"/>
      <c r="C46" s="36"/>
      <c r="D46" s="36"/>
      <c r="E46" s="36"/>
      <c r="F46" s="38"/>
      <c r="G46" s="37"/>
      <c r="H46" s="32"/>
      <c r="I46" s="32"/>
      <c r="J46" s="32"/>
      <c r="K46" s="32"/>
      <c r="L46" s="32"/>
      <c r="M46" s="32"/>
      <c r="N46" s="32"/>
      <c r="O46" s="31"/>
    </row>
    <row r="47" spans="1:42">
      <c r="A47" s="36"/>
      <c r="B47" s="36"/>
      <c r="C47" s="36"/>
      <c r="D47" s="36"/>
      <c r="E47" s="36"/>
      <c r="F47" s="38"/>
      <c r="G47" s="37"/>
      <c r="H47" s="32"/>
      <c r="I47" s="32"/>
      <c r="J47" s="32"/>
      <c r="K47" s="32"/>
      <c r="L47" s="32"/>
      <c r="M47" s="32"/>
      <c r="N47" s="32"/>
      <c r="O47" s="31"/>
    </row>
    <row r="48" spans="1:42">
      <c r="A48" s="36"/>
      <c r="B48" s="36"/>
      <c r="C48" s="36"/>
      <c r="D48" s="36"/>
      <c r="E48" s="36"/>
      <c r="F48" s="36"/>
      <c r="G48" s="36"/>
      <c r="H48" s="32"/>
      <c r="I48" s="32"/>
      <c r="J48" s="32"/>
      <c r="K48" s="32"/>
      <c r="L48" s="32"/>
      <c r="M48" s="32"/>
      <c r="N48" s="32"/>
      <c r="O48" s="31"/>
    </row>
    <row r="49" spans="1:15">
      <c r="A49" s="36"/>
      <c r="B49" s="36"/>
      <c r="C49" s="37"/>
      <c r="D49" s="36"/>
      <c r="E49" s="36"/>
      <c r="F49" s="36"/>
      <c r="G49" s="36"/>
      <c r="H49" s="32"/>
      <c r="I49" s="32"/>
      <c r="J49" s="32"/>
      <c r="K49" s="32"/>
      <c r="L49" s="32"/>
      <c r="M49" s="32"/>
      <c r="N49" s="32"/>
      <c r="O49" s="31"/>
    </row>
    <row r="50" spans="1:15">
      <c r="A50" s="36"/>
      <c r="B50" s="36"/>
      <c r="C50" s="36"/>
      <c r="D50" s="36"/>
      <c r="E50" s="36"/>
      <c r="F50" s="36"/>
      <c r="G50" s="36"/>
      <c r="H50" s="32"/>
      <c r="I50" s="32"/>
      <c r="J50" s="32"/>
      <c r="K50" s="32"/>
      <c r="L50" s="32"/>
      <c r="M50" s="32"/>
      <c r="N50" s="32"/>
      <c r="O50" s="31"/>
    </row>
    <row r="51" spans="1:15">
      <c r="A51" s="36"/>
      <c r="B51" s="36"/>
      <c r="C51" s="36"/>
      <c r="D51" s="36"/>
      <c r="E51" s="36"/>
      <c r="F51" s="36"/>
      <c r="G51" s="36"/>
      <c r="H51" s="32"/>
      <c r="I51" s="32"/>
      <c r="J51" s="32"/>
      <c r="K51" s="32"/>
      <c r="L51" s="32"/>
      <c r="M51" s="32"/>
      <c r="N51" s="32"/>
      <c r="O51" s="31"/>
    </row>
    <row r="52" spans="1:15">
      <c r="A52" s="32"/>
      <c r="B52" s="32"/>
      <c r="C52" s="32"/>
      <c r="D52" s="32"/>
      <c r="E52" s="32"/>
      <c r="F52" s="32"/>
      <c r="G52" s="32"/>
      <c r="H52" s="32"/>
      <c r="I52" s="32"/>
      <c r="J52" s="32"/>
      <c r="K52" s="32"/>
      <c r="L52" s="32"/>
      <c r="M52" s="32"/>
      <c r="N52" s="32"/>
      <c r="O52" s="31"/>
    </row>
    <row r="53" spans="1:15">
      <c r="O53" s="31"/>
    </row>
    <row r="54" spans="1:15">
      <c r="O54" s="31"/>
    </row>
  </sheetData>
  <sheetProtection password="DEB3" sheet="1" objects="1" scenarios="1"/>
  <mergeCells count="70">
    <mergeCell ref="A22:B22"/>
    <mergeCell ref="A23:B23"/>
    <mergeCell ref="M20:N20"/>
    <mergeCell ref="J19:L19"/>
    <mergeCell ref="J20:L20"/>
    <mergeCell ref="B3:C3"/>
    <mergeCell ref="B4:C4"/>
    <mergeCell ref="F6:G6"/>
    <mergeCell ref="F7:G7"/>
    <mergeCell ref="F8:G8"/>
    <mergeCell ref="J5:L5"/>
    <mergeCell ref="J6:L6"/>
    <mergeCell ref="A10:G10"/>
    <mergeCell ref="A21:B21"/>
    <mergeCell ref="E18:H18"/>
    <mergeCell ref="E19:G19"/>
    <mergeCell ref="E20:G20"/>
    <mergeCell ref="E21:G21"/>
    <mergeCell ref="B7:C7"/>
    <mergeCell ref="A8:C8"/>
    <mergeCell ref="H14:I14"/>
    <mergeCell ref="J18:N18"/>
    <mergeCell ref="C19:D19"/>
    <mergeCell ref="C20:D20"/>
    <mergeCell ref="A18:D18"/>
    <mergeCell ref="M19:N19"/>
    <mergeCell ref="A39:B39"/>
    <mergeCell ref="H10:I10"/>
    <mergeCell ref="A30:B30"/>
    <mergeCell ref="A31:B31"/>
    <mergeCell ref="D30:E30"/>
    <mergeCell ref="A35:B35"/>
    <mergeCell ref="A36:B36"/>
    <mergeCell ref="H19:I19"/>
    <mergeCell ref="H20:I20"/>
    <mergeCell ref="H11:I11"/>
    <mergeCell ref="H12:I12"/>
    <mergeCell ref="H13:I13"/>
    <mergeCell ref="E26:G26"/>
    <mergeCell ref="A28:B28"/>
    <mergeCell ref="A19:B19"/>
    <mergeCell ref="A16:D16"/>
    <mergeCell ref="A17:J17"/>
    <mergeCell ref="A33:B33"/>
    <mergeCell ref="A34:B34"/>
    <mergeCell ref="J22:L22"/>
    <mergeCell ref="A37:B37"/>
    <mergeCell ref="E22:G22"/>
    <mergeCell ref="J21:L21"/>
    <mergeCell ref="I30:M30"/>
    <mergeCell ref="D36:G36"/>
    <mergeCell ref="D37:G37"/>
    <mergeCell ref="C33:D33"/>
    <mergeCell ref="C34:D34"/>
    <mergeCell ref="I32:L32"/>
    <mergeCell ref="I33:L33"/>
    <mergeCell ref="I34:L34"/>
    <mergeCell ref="I35:L35"/>
    <mergeCell ref="A38:B38"/>
    <mergeCell ref="J23:L23"/>
    <mergeCell ref="J24:L24"/>
    <mergeCell ref="J25:L25"/>
    <mergeCell ref="J26:L26"/>
    <mergeCell ref="A24:B24"/>
    <mergeCell ref="A25:B25"/>
    <mergeCell ref="A26:B26"/>
    <mergeCell ref="A27:B27"/>
    <mergeCell ref="E23:G23"/>
    <mergeCell ref="E24:G24"/>
    <mergeCell ref="E25:G25"/>
  </mergeCells>
  <dataValidations count="23">
    <dataValidation type="whole" allowBlank="1" showInputMessage="1" showErrorMessage="1" promptTitle="237 ES.Calcul Aide" prompt="Elle vous permet de prévoir un surplus de charges sur votre système au fil des années." sqref="D3">
      <formula1>0</formula1>
      <formula2>100</formula2>
    </dataValidation>
    <dataValidation type="list" allowBlank="1" showInputMessage="1" showErrorMessage="1" promptTitle="237 ES.Calcul Aide" prompt="Choisir la tension de votre parc de batteries. &#10;12V conseillé pour une énergie inférieur ou égal à 1000W;&#10;24V conséillé pour une énergie entre 1000W et 4000W;&#10;48V conseillé pour une énergie supérieur ou égal à 4000W." sqref="H5">
      <formula1>"12,24,48,96,192,384"</formula1>
    </dataValidation>
    <dataValidation type="list" allowBlank="1" showInputMessage="1" showErrorMessage="1" promptTitle="237 ES.Calcul Aide" prompt="Choisir le nombre de jour d'autonomie de votre installation" sqref="H7">
      <formula1>"1,1,5,2,3,4,5,6,7,8,9,10,"</formula1>
    </dataValidation>
    <dataValidation type="list" allowBlank="1" showInputMessage="1" showErrorMessage="1" promptTitle="237 ES.Calcul Aide" prompt="Choisir la profondeur de décharge de votre parc de batteries" sqref="H6">
      <formula1>"50,60,65,70,80,90,100"</formula1>
    </dataValidation>
    <dataValidation allowBlank="1" showInputMessage="1" showErrorMessage="1" promptTitle="237 ES.Calcul Aide" prompt="Choisir sur la feuiile de donnée d'irradiation que vous avez obtenu celle que vous voulez utiliser" sqref="H3"/>
    <dataValidation allowBlank="1" showInputMessage="1" showErrorMessage="1" prompt="entré la tension maximale admissible à l'entré 2 du régulateur. " sqref="F27"/>
    <dataValidation allowBlank="1" showInputMessage="1" showErrorMessage="1" prompt="entré la tension maxiimale admissible à l'entré 1 de l'onduleur. Rmq : Ne remplir 2 que si votre régulateur possède 2 entré de panneau solaire." sqref="K27"/>
    <dataValidation allowBlank="1" showInputMessage="1" showErrorMessage="1" prompt="entré le courant admissible à l'entré 1 de l'onduleur. Rmq : Ne remplir 2 que si votre régulateur possède 2 entré de panneau solaire." sqref="L28"/>
    <dataValidation allowBlank="1" showInputMessage="1" showErrorMessage="1" prompt="entré le courant admissible à l'entré 2 de l'onduleur." sqref="M28"/>
    <dataValidation allowBlank="1" showInputMessage="1" showErrorMessage="1" prompt="le nombre minimal de panneau à l'entré 1 du régulateur est de :" sqref="F45"/>
    <dataValidation allowBlank="1" showInputMessage="1" showErrorMessage="1" prompt="Le nombre de branche à l'entré 1 du régulateur est de :&#10;" sqref="F47"/>
    <dataValidation type="list" allowBlank="1" showInputMessage="1" showErrorMessage="1" promptTitle="237 ES.Calcul Aide" prompt="Choisir la température de fonctionnement de votre parc de batteries." sqref="D8">
      <formula1>"-20,-10,0,10,20,30,40,50"</formula1>
    </dataValidation>
    <dataValidation allowBlank="1" showInputMessage="1" showErrorMessage="1" promptTitle="237 ES.Calcul Aide" prompt="Choix du coeficient multiplicateur K en fonction de la températurede fonctionnement des barreries&#10;" sqref="H8"/>
    <dataValidation allowBlank="1" showInputMessage="1" showErrorMessage="1" prompt="Cette valeur est fonction de votre choix dans la cellule &quot;Entrer la condition qui représente le mieux votre système&quot;" sqref="H4"/>
    <dataValidation type="decimal" allowBlank="1" showInputMessage="1" showErrorMessage="1" promptTitle="237 ES.Calcul Aide" prompt="Entrer pour le PR une valeur inférieure ou égal à 1 mais supérieure à 0" sqref="D7">
      <formula1>1E-25</formula1>
      <formula2>1.1</formula2>
    </dataValidation>
    <dataValidation type="list" allowBlank="1" showInputMessage="1" showErrorMessage="1" sqref="C19:D19">
      <formula1>"Monocristallin,Polycristallin,Silicium amorphe"</formula1>
    </dataValidation>
    <dataValidation type="list" allowBlank="1" showInputMessage="1" showErrorMessage="1" sqref="H19">
      <formula1>"Tout ou rien,PNW,MPPT"</formula1>
    </dataValidation>
    <dataValidation type="list" allowBlank="1" showInputMessage="1" showErrorMessage="1" promptTitle="237 ES.Calcul Aide" prompt="Choisir la tranche de température ambiante minimal de fonctionnement des panneaux solaires " sqref="C33:D33">
      <formula1>"Entre 74 et 70,Entre 69 et 65,Entre 64 et 60,Entre 59 et 55,Entre 30 et 25,Entre 24 et 20,Entre 19 et 15, Entre 14 et 10,Entre 9 et 5,Entre 4 et 0,Entre -1 et -5,Entre -6 et -10,"</formula1>
    </dataValidation>
    <dataValidation type="list" allowBlank="1" showInputMessage="1" showErrorMessage="1" promptTitle="237 ES.Calcul Aide" prompt="Choisir la tranche de température ambiante maximal de fonctionnement des panneaux solaires " sqref="C34:D34">
      <formula1>"Entre 74 et 70,Entre 69 et 65,Entre 64 et 60,Entre 59 et 55,Entre 30 et 25,Entre 24 et 20,Entre 19 et 15, Entre 14 et 10,Entre 9 et 5,Entre 4 et 0,Entre -1 et -5,Entre -6 et -10,"</formula1>
    </dataValidation>
    <dataValidation type="list" allowBlank="1" showInputMessage="1" showErrorMessage="1" prompt="Choisir la tension du Système" sqref="H21">
      <formula1>"12,24,48,96,192,384"</formula1>
    </dataValidation>
    <dataValidation allowBlank="1" showInputMessage="1" showErrorMessage="1" prompt="Entrer la puissance du panneau solaire choisi dans la zone relatif aux informations du Panneau Solaire PV ci-dessous et la valeur apparaîtra." sqref="G16"/>
    <dataValidation type="list" allowBlank="1" showInputMessage="1" showErrorMessage="1" sqref="C12">
      <formula1>"OPzV,POzS,AGM"</formula1>
    </dataValidation>
    <dataValidation type="list" allowBlank="1" showInputMessage="1" showErrorMessage="1" promptTitle="237 ES.Calcul Aide" prompt="Choisir en prénant en compte que&quot; présence&quot; ou &quot;abscence&quot; de MPPT fait allusion à la présence ou à l'absence de cette fonction sur le régulateur choisi. De ceci est déduit la valeur du Ratio de performence PR" sqref="B7:C7">
      <formula1>"Intégré au toit avec absence du MPPT, Intégré au toit avec présence du MPPT,Surimposition avec absence du MPPT,Surimposition avec présence du MPPT,Sur chassis avec absence du MPPT,Sur chassis avec présence du MPPT,Autre (précisé la valeur du PR voulu): =˃"</formula1>
    </dataValidation>
  </dataValidations>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sheetPr codeName="Feuil7">
    <tabColor rgb="FF92D050"/>
  </sheetPr>
  <dimension ref="A1:AK45"/>
  <sheetViews>
    <sheetView topLeftCell="AL1" workbookViewId="0">
      <pane ySplit="1" topLeftCell="A71" activePane="bottomLeft" state="frozen"/>
      <selection pane="bottomLeft" activeCell="O6" sqref="O6"/>
    </sheetView>
  </sheetViews>
  <sheetFormatPr baseColWidth="10" defaultColWidth="11.42578125" defaultRowHeight="17.25"/>
  <cols>
    <col min="1" max="1" width="15.140625" style="214" customWidth="1"/>
    <col min="2" max="2" width="12.5703125" style="214" customWidth="1"/>
    <col min="3" max="8" width="11.42578125" style="214"/>
    <col min="9" max="9" width="12" style="214" bestFit="1" customWidth="1"/>
    <col min="10" max="21" width="11.42578125" style="214"/>
    <col min="22" max="22" width="19.28515625" style="214" bestFit="1" customWidth="1"/>
    <col min="23" max="23" width="26.85546875" style="214" bestFit="1" customWidth="1"/>
    <col min="24" max="24" width="27.85546875" style="214" bestFit="1" customWidth="1"/>
    <col min="25" max="16384" width="11.42578125" style="214"/>
  </cols>
  <sheetData>
    <row r="1" spans="1:37" ht="33" customHeight="1"/>
    <row r="2" spans="1:37" ht="20.25">
      <c r="A2" s="380" t="s">
        <v>322</v>
      </c>
      <c r="B2" s="381"/>
      <c r="C2" s="381"/>
      <c r="D2" s="381"/>
      <c r="E2" s="381"/>
      <c r="F2" s="381"/>
      <c r="G2" s="381"/>
      <c r="H2" s="381"/>
      <c r="I2" s="381"/>
      <c r="J2" s="381"/>
      <c r="K2" s="381"/>
      <c r="L2" s="381"/>
      <c r="M2" s="381"/>
      <c r="N2" s="381"/>
      <c r="O2" s="381"/>
      <c r="P2" s="381"/>
      <c r="Q2" s="381"/>
      <c r="R2" s="381"/>
      <c r="S2" s="381"/>
      <c r="T2" s="381"/>
      <c r="U2" s="381"/>
      <c r="V2" s="381"/>
      <c r="W2" s="381"/>
      <c r="X2" s="381"/>
      <c r="Y2" s="381"/>
      <c r="Z2" s="381"/>
      <c r="AA2" s="381"/>
      <c r="AB2" s="381"/>
      <c r="AC2" s="381"/>
      <c r="AD2" s="381"/>
      <c r="AE2" s="381"/>
      <c r="AF2" s="381"/>
      <c r="AG2" s="381"/>
      <c r="AH2" s="381"/>
      <c r="AI2" s="381"/>
      <c r="AJ2" s="381"/>
      <c r="AK2" s="381"/>
    </row>
    <row r="3" spans="1:37">
      <c r="A3" s="382" t="s">
        <v>337</v>
      </c>
      <c r="B3" s="382"/>
      <c r="C3" s="382"/>
      <c r="D3" s="382"/>
      <c r="E3" s="382"/>
      <c r="F3" s="382"/>
      <c r="G3" s="382"/>
      <c r="H3" s="382"/>
      <c r="I3" s="382"/>
      <c r="J3" s="382"/>
      <c r="K3" s="382"/>
      <c r="L3" s="382"/>
      <c r="M3" s="382"/>
      <c r="N3" s="242"/>
      <c r="O3" s="242"/>
      <c r="P3" s="242"/>
      <c r="Q3" s="242"/>
      <c r="R3" s="242"/>
      <c r="S3" s="242"/>
      <c r="T3" s="242"/>
      <c r="U3" s="242"/>
      <c r="V3" s="242"/>
      <c r="W3" s="242"/>
      <c r="X3" s="242"/>
      <c r="Y3" s="242"/>
      <c r="Z3" s="242"/>
      <c r="AA3" s="242"/>
      <c r="AB3" s="242"/>
      <c r="AC3" s="242"/>
      <c r="AD3" s="242"/>
      <c r="AE3" s="242"/>
      <c r="AF3" s="242"/>
      <c r="AG3" s="242"/>
      <c r="AH3" s="242"/>
      <c r="AI3" s="242"/>
      <c r="AJ3" s="242"/>
      <c r="AK3" s="242"/>
    </row>
    <row r="4" spans="1:37">
      <c r="A4" s="243"/>
      <c r="B4" s="386" t="s">
        <v>225</v>
      </c>
      <c r="C4" s="386"/>
      <c r="D4" s="386"/>
      <c r="E4" s="386"/>
      <c r="F4" s="239"/>
      <c r="G4" s="385" t="s">
        <v>256</v>
      </c>
      <c r="H4" s="385"/>
      <c r="I4" s="385"/>
      <c r="J4" s="385"/>
      <c r="K4" s="385"/>
      <c r="L4" s="385"/>
    </row>
    <row r="5" spans="1:37">
      <c r="A5" s="243"/>
      <c r="B5" s="383" t="s">
        <v>109</v>
      </c>
      <c r="C5" s="383"/>
      <c r="D5" s="134"/>
      <c r="E5" s="127" t="s">
        <v>92</v>
      </c>
      <c r="F5" s="127"/>
      <c r="G5" s="126"/>
      <c r="H5" s="379" t="s">
        <v>223</v>
      </c>
      <c r="I5" s="379"/>
      <c r="J5" s="379"/>
      <c r="K5" s="132"/>
      <c r="L5" s="126"/>
    </row>
    <row r="6" spans="1:37">
      <c r="A6" s="383" t="s">
        <v>110</v>
      </c>
      <c r="B6" s="383"/>
      <c r="C6" s="384"/>
      <c r="D6" s="134"/>
      <c r="E6" s="127" t="s">
        <v>87</v>
      </c>
      <c r="F6" s="127"/>
      <c r="G6" s="126"/>
      <c r="H6" s="379" t="s">
        <v>224</v>
      </c>
      <c r="I6" s="379"/>
      <c r="J6" s="379"/>
      <c r="K6" s="132"/>
      <c r="L6" s="126"/>
      <c r="V6" s="244" t="s">
        <v>321</v>
      </c>
      <c r="W6" s="244" t="s">
        <v>320</v>
      </c>
      <c r="X6" s="244" t="s">
        <v>319</v>
      </c>
    </row>
    <row r="7" spans="1:37">
      <c r="A7" s="383" t="s">
        <v>196</v>
      </c>
      <c r="B7" s="383"/>
      <c r="C7" s="384"/>
      <c r="D7" s="134"/>
      <c r="E7" s="127" t="s">
        <v>108</v>
      </c>
      <c r="F7" s="127"/>
      <c r="G7" s="128"/>
      <c r="H7" s="379" t="s">
        <v>252</v>
      </c>
      <c r="I7" s="379"/>
      <c r="J7" s="128">
        <f>D6*K5</f>
        <v>0</v>
      </c>
      <c r="K7" s="128">
        <f>D6*K5</f>
        <v>0</v>
      </c>
      <c r="L7" s="126" t="s">
        <v>87</v>
      </c>
      <c r="N7" s="240"/>
      <c r="O7" s="75"/>
      <c r="U7" s="214">
        <f>IF(K14="90°C",17,27)</f>
        <v>27</v>
      </c>
      <c r="V7" s="245">
        <v>1.5</v>
      </c>
      <c r="W7" s="245">
        <v>17</v>
      </c>
      <c r="X7" s="245">
        <v>27</v>
      </c>
    </row>
    <row r="8" spans="1:37">
      <c r="A8" s="383" t="s">
        <v>111</v>
      </c>
      <c r="B8" s="383"/>
      <c r="C8" s="384"/>
      <c r="D8" s="134"/>
      <c r="E8" s="127" t="s">
        <v>87</v>
      </c>
      <c r="F8" s="254"/>
      <c r="G8" s="102"/>
      <c r="H8" s="379" t="s">
        <v>253</v>
      </c>
      <c r="I8" s="379"/>
      <c r="J8" s="128">
        <f>D7*K6</f>
        <v>0</v>
      </c>
      <c r="K8" s="128" t="str">
        <f>IF(K6&gt;1,D7*(K6-1),IF(K6=1,D7*(K6-0),"/"))</f>
        <v>/</v>
      </c>
      <c r="L8" s="126" t="s">
        <v>108</v>
      </c>
      <c r="N8" s="240"/>
      <c r="O8" s="241"/>
      <c r="U8" s="214">
        <f>IF(K14="90°C",24,37)</f>
        <v>37</v>
      </c>
      <c r="V8" s="245">
        <v>2.5</v>
      </c>
      <c r="W8" s="245">
        <v>24</v>
      </c>
      <c r="X8" s="245">
        <v>37</v>
      </c>
    </row>
    <row r="9" spans="1:37">
      <c r="A9" s="383" t="s">
        <v>112</v>
      </c>
      <c r="B9" s="383"/>
      <c r="C9" s="384"/>
      <c r="D9" s="134"/>
      <c r="E9" s="127" t="s">
        <v>108</v>
      </c>
      <c r="F9" s="127"/>
      <c r="G9" s="128"/>
      <c r="H9" s="379" t="s">
        <v>254</v>
      </c>
      <c r="I9" s="379"/>
      <c r="J9" s="128">
        <f>D8*K5</f>
        <v>0</v>
      </c>
      <c r="K9" s="128">
        <f>D8*K5</f>
        <v>0</v>
      </c>
      <c r="L9" s="126" t="s">
        <v>87</v>
      </c>
      <c r="U9" s="214">
        <f>IF(K14="90°C",32,50)</f>
        <v>50</v>
      </c>
      <c r="V9" s="245">
        <v>4</v>
      </c>
      <c r="W9" s="245">
        <v>32</v>
      </c>
      <c r="X9" s="245">
        <v>50</v>
      </c>
    </row>
    <row r="10" spans="1:37" ht="15" customHeight="1">
      <c r="A10" s="243"/>
      <c r="B10" s="243"/>
      <c r="C10" s="243"/>
      <c r="D10" s="246"/>
      <c r="E10" s="127"/>
      <c r="F10" s="127"/>
      <c r="G10" s="128"/>
      <c r="H10" s="379" t="s">
        <v>255</v>
      </c>
      <c r="I10" s="379"/>
      <c r="J10" s="128">
        <f>D9*K6</f>
        <v>0</v>
      </c>
      <c r="K10" s="128" t="str">
        <f>IF(K6&gt;1,D9*(K6-1),IF(K6=1,D9*(K6-0),"/"))</f>
        <v>/</v>
      </c>
      <c r="L10" s="126" t="s">
        <v>108</v>
      </c>
      <c r="U10" s="214">
        <f>IF(K14="90°C",41,64)</f>
        <v>64</v>
      </c>
      <c r="V10" s="245">
        <v>6</v>
      </c>
      <c r="W10" s="245">
        <v>41</v>
      </c>
      <c r="X10" s="245">
        <v>64</v>
      </c>
    </row>
    <row r="11" spans="1:37" ht="17.25" customHeight="1">
      <c r="A11" s="373" t="s">
        <v>324</v>
      </c>
      <c r="B11" s="374"/>
      <c r="C11" s="374"/>
      <c r="D11" s="374"/>
      <c r="E11" s="374"/>
      <c r="F11" s="374"/>
      <c r="G11" s="374"/>
      <c r="H11" s="374"/>
      <c r="I11" s="374"/>
      <c r="J11" s="374"/>
      <c r="K11" s="374"/>
      <c r="L11" s="375"/>
      <c r="M11" s="256"/>
      <c r="N11" s="256"/>
      <c r="O11" s="256"/>
      <c r="P11" s="256"/>
      <c r="U11" s="214">
        <f>IF(K14="90°C",57,89)</f>
        <v>89</v>
      </c>
      <c r="V11" s="245">
        <v>10</v>
      </c>
      <c r="W11" s="245">
        <v>57</v>
      </c>
      <c r="X11" s="245">
        <v>89</v>
      </c>
    </row>
    <row r="12" spans="1:37">
      <c r="A12" s="376" t="s">
        <v>323</v>
      </c>
      <c r="B12" s="376"/>
      <c r="C12" s="376"/>
      <c r="D12" s="377"/>
      <c r="E12" s="378"/>
      <c r="F12" s="249"/>
      <c r="G12" s="342" t="s">
        <v>339</v>
      </c>
      <c r="H12" s="342"/>
      <c r="I12" s="342"/>
      <c r="J12" s="129" t="s">
        <v>226</v>
      </c>
      <c r="K12" s="279"/>
      <c r="L12" s="130"/>
      <c r="M12" s="256"/>
      <c r="N12" s="256"/>
      <c r="O12" s="256"/>
      <c r="P12" s="256"/>
      <c r="U12" s="214">
        <f>IF(U6="90°C",77,120)</f>
        <v>120</v>
      </c>
      <c r="V12" s="245">
        <v>16</v>
      </c>
      <c r="W12" s="245">
        <v>77</v>
      </c>
      <c r="X12" s="245">
        <v>120</v>
      </c>
    </row>
    <row r="13" spans="1:37">
      <c r="A13" s="388" t="str">
        <f>IF(K6=0,"",IF(K6=1,"Mettre la protection châine à l'entrée du régulateur","Mettre la protection dans la boîte de jonction à proximité des panneaux"))</f>
        <v/>
      </c>
      <c r="B13" s="388"/>
      <c r="C13" s="388"/>
      <c r="D13" s="268" t="str">
        <f>IF(D12="Disjoncteur",1.3,IF(D12="Fusible",1.45,""))</f>
        <v/>
      </c>
      <c r="E13" s="268"/>
      <c r="F13" s="268"/>
      <c r="G13" s="265"/>
      <c r="H13" s="265"/>
      <c r="I13" s="265"/>
      <c r="J13" s="129" t="s">
        <v>227</v>
      </c>
      <c r="K13" s="280" t="str">
        <f>IF(K12="Cuivre",0.02314,IF(K12="Aluminium",0.03676,""))</f>
        <v/>
      </c>
      <c r="L13" s="130" t="s">
        <v>228</v>
      </c>
      <c r="M13" s="256"/>
      <c r="N13" s="256"/>
      <c r="O13" s="256"/>
      <c r="P13" s="256"/>
      <c r="U13" s="214">
        <f>IF(K14="90°C",102,160)</f>
        <v>160</v>
      </c>
      <c r="V13" s="245">
        <v>25</v>
      </c>
      <c r="W13" s="245">
        <v>102</v>
      </c>
      <c r="X13" s="245">
        <v>160</v>
      </c>
    </row>
    <row r="14" spans="1:37">
      <c r="A14" s="389"/>
      <c r="B14" s="389"/>
      <c r="C14" s="389"/>
      <c r="D14" s="269" t="e">
        <f>IF(K6&lt;20,K18,D15)</f>
        <v>#VALUE!</v>
      </c>
      <c r="E14" s="270"/>
      <c r="F14" s="270"/>
      <c r="G14" s="343" t="s">
        <v>330</v>
      </c>
      <c r="H14" s="343"/>
      <c r="I14" s="343"/>
      <c r="J14" s="344"/>
      <c r="K14" s="278"/>
      <c r="L14" s="266"/>
      <c r="V14" s="245"/>
      <c r="W14" s="245"/>
      <c r="X14" s="245"/>
    </row>
    <row r="15" spans="1:37">
      <c r="A15" s="369" t="s">
        <v>328</v>
      </c>
      <c r="B15" s="369"/>
      <c r="C15" s="369"/>
      <c r="D15" s="218" t="str">
        <f>IF(K5=0,"",1.25*D7)</f>
        <v/>
      </c>
      <c r="E15" s="218" t="s">
        <v>108</v>
      </c>
      <c r="F15" s="218"/>
      <c r="G15" s="372" t="str">
        <f>IF(K14=0,"Choisir la température maximale de fonctionnement que peut atteindre le câble","")</f>
        <v>Choisir la température maximale de fonctionnement que peut atteindre le câble</v>
      </c>
      <c r="H15" s="372"/>
      <c r="I15" s="372"/>
      <c r="J15" s="372"/>
      <c r="K15" s="372"/>
      <c r="L15" s="372"/>
      <c r="U15" s="214">
        <f>IF(K14="90°C",126,198)</f>
        <v>198</v>
      </c>
      <c r="V15" s="245">
        <v>35</v>
      </c>
      <c r="W15" s="245">
        <v>126</v>
      </c>
      <c r="X15" s="245">
        <v>198</v>
      </c>
    </row>
    <row r="16" spans="1:37" ht="17.25" customHeight="1">
      <c r="A16" s="369" t="s">
        <v>325</v>
      </c>
      <c r="B16" s="369"/>
      <c r="C16" s="369"/>
      <c r="D16" s="250">
        <f>IF(K5=0,0,1.1*1.25*D9)</f>
        <v>0</v>
      </c>
      <c r="E16" s="251" t="s">
        <v>327</v>
      </c>
      <c r="F16" s="252">
        <f>IF(K5=0,0,2*D9)</f>
        <v>0</v>
      </c>
      <c r="G16" s="371" t="s">
        <v>331</v>
      </c>
      <c r="H16" s="371"/>
      <c r="I16" s="371"/>
      <c r="J16" s="371"/>
      <c r="K16" s="218"/>
      <c r="L16" s="218"/>
      <c r="U16" s="214">
        <f>IF(K14="90°C",198,209)</f>
        <v>209</v>
      </c>
      <c r="V16" s="245">
        <v>50</v>
      </c>
      <c r="W16" s="245">
        <v>198</v>
      </c>
      <c r="X16" s="245">
        <v>209</v>
      </c>
    </row>
    <row r="17" spans="1:24" ht="15.75" customHeight="1">
      <c r="A17" s="369" t="s">
        <v>326</v>
      </c>
      <c r="B17" s="369"/>
      <c r="C17" s="369"/>
      <c r="D17" s="218"/>
      <c r="E17" s="253" t="s">
        <v>329</v>
      </c>
      <c r="F17" s="252">
        <f>IF(K5=0,0,1.2*D8)</f>
        <v>0</v>
      </c>
      <c r="G17" s="371"/>
      <c r="H17" s="371"/>
      <c r="I17" s="371"/>
      <c r="J17" s="371"/>
      <c r="K17" s="278"/>
      <c r="L17" s="218" t="s">
        <v>108</v>
      </c>
      <c r="V17" s="245"/>
      <c r="W17" s="245"/>
      <c r="X17" s="245"/>
    </row>
    <row r="18" spans="1:24" ht="30" customHeight="1">
      <c r="A18" s="370" t="s">
        <v>231</v>
      </c>
      <c r="B18" s="370"/>
      <c r="C18" s="370"/>
      <c r="D18" s="218" t="str">
        <f>IF(K14=0,"",IF(D14=0,"",IF(D14&lt;=U7,1.5,IF(D14&lt;=U8,2.5,IF(D14&lt;=U9,4,IF(D14&lt;=U10,6,IF(D14&lt;=U11,10,IF(D14&lt;=U12,16,IF(D14&lt;=U13,25,IF(D14&lt;=U15,35,IF(D14&lt;=U16,50,70)))))))))))</f>
        <v/>
      </c>
      <c r="E18" s="218" t="s">
        <v>230</v>
      </c>
      <c r="F18" s="218"/>
      <c r="G18" s="390" t="str">
        <f>IF(K17=0,"Entrer le calibre commercial de la protection choisie pour obtenir la section de câble","")</f>
        <v>Entrer le calibre commercial de la protection choisie pour obtenir la section de câble</v>
      </c>
      <c r="H18" s="390"/>
      <c r="I18" s="390"/>
      <c r="J18" s="390"/>
      <c r="K18" s="218" t="e">
        <f>K17*D13</f>
        <v>#VALUE!</v>
      </c>
      <c r="L18" s="218"/>
      <c r="V18" s="245"/>
      <c r="W18" s="245"/>
      <c r="X18" s="245"/>
    </row>
    <row r="19" spans="1:24">
      <c r="A19" s="373" t="s">
        <v>336</v>
      </c>
      <c r="B19" s="374"/>
      <c r="C19" s="374"/>
      <c r="D19" s="374"/>
      <c r="E19" s="374"/>
      <c r="F19" s="374"/>
      <c r="G19" s="374"/>
      <c r="H19" s="374"/>
      <c r="I19" s="374"/>
      <c r="J19" s="374"/>
      <c r="K19" s="374"/>
      <c r="L19" s="375"/>
      <c r="V19" s="245"/>
      <c r="W19" s="245"/>
      <c r="X19" s="245"/>
    </row>
    <row r="20" spans="1:24">
      <c r="A20" s="376" t="s">
        <v>323</v>
      </c>
      <c r="B20" s="376"/>
      <c r="C20" s="376"/>
      <c r="D20" s="377"/>
      <c r="E20" s="378"/>
      <c r="F20" s="272"/>
      <c r="G20" s="345" t="s">
        <v>340</v>
      </c>
      <c r="H20" s="345"/>
      <c r="I20" s="345"/>
      <c r="J20" s="129" t="s">
        <v>226</v>
      </c>
      <c r="K20" s="281"/>
      <c r="L20" s="130"/>
      <c r="V20" s="244" t="s">
        <v>321</v>
      </c>
      <c r="W20" s="244" t="s">
        <v>320</v>
      </c>
      <c r="X20" s="244" t="s">
        <v>319</v>
      </c>
    </row>
    <row r="21" spans="1:24" ht="17.25" customHeight="1">
      <c r="A21" s="391" t="str">
        <f>IF(K23=0,"",IF(K23&lt;=3,"Pas de protection de câble de groupe à assurer",""))</f>
        <v/>
      </c>
      <c r="B21" s="391"/>
      <c r="C21" s="391"/>
      <c r="D21" s="249" t="str">
        <f>IF(D20="Disjoncteur",1.3,IF(D20="Fusible",1.45,""))</f>
        <v/>
      </c>
      <c r="E21" s="249"/>
      <c r="F21" s="249"/>
      <c r="G21" s="248"/>
      <c r="H21" s="248"/>
      <c r="I21" s="248"/>
      <c r="J21" s="129" t="s">
        <v>227</v>
      </c>
      <c r="K21" s="131" t="str">
        <f>IF(K20="Cuivre",0.02314,IF(K20="Aluminium",0.03676,""))</f>
        <v/>
      </c>
      <c r="L21" s="130" t="s">
        <v>228</v>
      </c>
      <c r="U21" s="214">
        <f>IF(K22="90°C",17,27)</f>
        <v>27</v>
      </c>
      <c r="V21" s="245">
        <v>1.5</v>
      </c>
      <c r="W21" s="245">
        <v>17</v>
      </c>
      <c r="X21" s="245">
        <v>27</v>
      </c>
    </row>
    <row r="22" spans="1:24">
      <c r="A22" s="391"/>
      <c r="B22" s="391"/>
      <c r="C22" s="391"/>
      <c r="D22" s="249" t="e">
        <f>IF(K27=0,D24,K27)</f>
        <v>#VALUE!</v>
      </c>
      <c r="E22" s="271"/>
      <c r="F22" s="271"/>
      <c r="G22" s="346" t="s">
        <v>330</v>
      </c>
      <c r="H22" s="346"/>
      <c r="I22" s="346"/>
      <c r="J22" s="347"/>
      <c r="K22" s="134"/>
      <c r="L22" s="130"/>
      <c r="U22" s="214">
        <f>IF(K22="90°C",24,37)</f>
        <v>37</v>
      </c>
      <c r="V22" s="245">
        <v>2.5</v>
      </c>
      <c r="W22" s="245">
        <v>24</v>
      </c>
      <c r="X22" s="245">
        <v>37</v>
      </c>
    </row>
    <row r="23" spans="1:24">
      <c r="A23" s="269"/>
      <c r="B23" s="269"/>
      <c r="C23" s="269"/>
      <c r="D23" s="269"/>
      <c r="E23" s="270"/>
      <c r="F23" s="270"/>
      <c r="G23" s="343" t="s">
        <v>335</v>
      </c>
      <c r="H23" s="343"/>
      <c r="I23" s="343"/>
      <c r="J23" s="344"/>
      <c r="K23" s="134"/>
      <c r="L23" s="266"/>
      <c r="V23" s="247"/>
      <c r="W23" s="247"/>
      <c r="X23" s="247"/>
    </row>
    <row r="24" spans="1:24">
      <c r="A24" s="369" t="s">
        <v>328</v>
      </c>
      <c r="B24" s="369"/>
      <c r="C24" s="369"/>
      <c r="D24" s="282" t="str">
        <f>IF(K5=0,"",1.25*K6*D7)</f>
        <v/>
      </c>
      <c r="E24" s="218" t="s">
        <v>108</v>
      </c>
      <c r="F24" s="267"/>
      <c r="G24" s="372" t="str">
        <f>IF(K22=0,"Choisir la température maximale de fonctionnement que peut atteindre le câble","")</f>
        <v>Choisir la température maximale de fonctionnement que peut atteindre le câble</v>
      </c>
      <c r="H24" s="372"/>
      <c r="I24" s="372"/>
      <c r="J24" s="372"/>
      <c r="K24" s="372"/>
      <c r="L24" s="372"/>
      <c r="M24" s="255"/>
      <c r="N24" s="255"/>
      <c r="O24" s="255"/>
      <c r="P24" s="255"/>
      <c r="U24" s="214">
        <f>IF(K22="90°C",32,50)</f>
        <v>50</v>
      </c>
      <c r="V24" s="245">
        <v>4</v>
      </c>
      <c r="W24" s="245">
        <v>32</v>
      </c>
      <c r="X24" s="245">
        <v>50</v>
      </c>
    </row>
    <row r="25" spans="1:24" ht="18.75" customHeight="1">
      <c r="A25" s="369" t="str">
        <f>IF(A21="Pas de protection de câble de groupe à assurer","","Courant assigné de la protection :")</f>
        <v>Courant assigné de la protection :</v>
      </c>
      <c r="B25" s="369"/>
      <c r="C25" s="369"/>
      <c r="D25" s="257">
        <f>IF(A25="","",1.1*1.25*D9*K6)</f>
        <v>0</v>
      </c>
      <c r="E25" s="251" t="str">
        <f>IF(A25="","","≤ lN (A) ≤")</f>
        <v>≤ lN (A) ≤</v>
      </c>
      <c r="F25" s="258">
        <f>IF(A25="","",2*D9*K6)</f>
        <v>0</v>
      </c>
      <c r="G25" s="371" t="str">
        <f>IF(A21="Pas de protection de câble de groupe à assurer","","Entrer le courant assigné validé standard respectant la condition précédente :")</f>
        <v>Entrer le courant assigné validé standard respectant la condition précédente :</v>
      </c>
      <c r="H25" s="371"/>
      <c r="I25" s="371"/>
      <c r="J25" s="371"/>
      <c r="K25" s="218"/>
      <c r="L25" s="218"/>
      <c r="M25" s="255"/>
      <c r="N25" s="255"/>
      <c r="O25" s="255"/>
      <c r="P25" s="255"/>
      <c r="U25" s="214">
        <f>IF(K22="90°C",41,64)</f>
        <v>64</v>
      </c>
      <c r="V25" s="245">
        <v>6</v>
      </c>
      <c r="W25" s="245">
        <v>41</v>
      </c>
      <c r="X25" s="245">
        <v>64</v>
      </c>
    </row>
    <row r="26" spans="1:24">
      <c r="A26" s="369" t="str">
        <f>IF(A21="Pas de protection de câble de groupe à assurer","","Tension assigné de la protection :")</f>
        <v>Tension assigné de la protection :</v>
      </c>
      <c r="B26" s="369"/>
      <c r="C26" s="369"/>
      <c r="D26" s="218"/>
      <c r="E26" s="253" t="str">
        <f>IF(A26="","","UN (V) ≥")</f>
        <v>UN (V) ≥</v>
      </c>
      <c r="F26" s="258">
        <f>IF(A26="","",K5*D8)</f>
        <v>0</v>
      </c>
      <c r="G26" s="371"/>
      <c r="H26" s="371"/>
      <c r="I26" s="371"/>
      <c r="J26" s="371"/>
      <c r="K26" s="278"/>
      <c r="L26" s="218" t="str">
        <f>IF(A21="Pas de protection de câble de groupe à assurer","","A")</f>
        <v>A</v>
      </c>
      <c r="M26" s="255"/>
      <c r="N26" s="255"/>
      <c r="O26" s="255"/>
      <c r="P26" s="255"/>
      <c r="U26" s="214">
        <f>IF(K22="90°C",57,89)</f>
        <v>89</v>
      </c>
      <c r="V26" s="245">
        <v>10</v>
      </c>
      <c r="W26" s="245">
        <v>57</v>
      </c>
      <c r="X26" s="245">
        <v>89</v>
      </c>
    </row>
    <row r="27" spans="1:24" ht="30.75" customHeight="1">
      <c r="A27" s="370" t="s">
        <v>231</v>
      </c>
      <c r="B27" s="370"/>
      <c r="C27" s="370"/>
      <c r="D27" s="283" t="str">
        <f>IF(G24=0,"",IF(K22=0,"",IF(D22=0,"",IF(D22&lt;=U21,1.5,IF(D22&lt;=U22,2.5,IF(D22&lt;=U24,4,IF(D22&lt;=U25,6,IF(D22&lt;=U26,10,IF(D22&lt;=U27,16,IF(D22&lt;=U28,25,IF(D22&lt;=U30,35,IF(D22&lt;=U31,50,70))))))))))))</f>
        <v/>
      </c>
      <c r="E27" s="218" t="s">
        <v>230</v>
      </c>
      <c r="F27" s="218"/>
      <c r="G27" s="390" t="str">
        <f>IF(G25="","",IF(K26=0,"Entrer le calibre commercial de la protection choisie pour obtenir la section de câble",""))</f>
        <v>Entrer le calibre commercial de la protection choisie pour obtenir la section de câble</v>
      </c>
      <c r="H27" s="390"/>
      <c r="I27" s="390"/>
      <c r="J27" s="390"/>
      <c r="K27" s="218" t="e">
        <f>K26*D21</f>
        <v>#VALUE!</v>
      </c>
      <c r="L27" s="218"/>
      <c r="M27" s="368"/>
      <c r="N27" s="368"/>
      <c r="O27" s="368"/>
      <c r="P27" s="368"/>
      <c r="U27" s="214">
        <f>IF(U22="90°C",77,120)</f>
        <v>120</v>
      </c>
      <c r="V27" s="245">
        <v>16</v>
      </c>
      <c r="W27" s="245">
        <v>77</v>
      </c>
      <c r="X27" s="245">
        <v>120</v>
      </c>
    </row>
    <row r="28" spans="1:24" ht="18.75">
      <c r="A28" s="387" t="s">
        <v>232</v>
      </c>
      <c r="B28" s="387"/>
      <c r="C28" s="387"/>
      <c r="D28" s="387"/>
      <c r="E28" s="387"/>
      <c r="F28" s="387"/>
      <c r="G28" s="387"/>
      <c r="H28" s="387"/>
      <c r="I28" s="387"/>
      <c r="J28" s="387"/>
      <c r="K28" s="387"/>
      <c r="L28" s="387"/>
      <c r="U28" s="214">
        <f>IF(K22="90°C",102,160)</f>
        <v>160</v>
      </c>
      <c r="V28" s="245">
        <v>25</v>
      </c>
      <c r="W28" s="245">
        <v>102</v>
      </c>
      <c r="X28" s="245">
        <v>160</v>
      </c>
    </row>
    <row r="29" spans="1:24">
      <c r="A29" s="358" t="s">
        <v>233</v>
      </c>
      <c r="B29" s="358"/>
      <c r="C29" s="358"/>
      <c r="D29" s="358"/>
      <c r="E29" s="358"/>
      <c r="F29" s="358"/>
      <c r="G29" s="358"/>
      <c r="H29" s="358"/>
      <c r="I29" s="358"/>
      <c r="J29" s="358"/>
      <c r="K29" s="358"/>
      <c r="L29" s="358"/>
      <c r="V29" s="245"/>
      <c r="W29" s="245"/>
      <c r="X29" s="245"/>
    </row>
    <row r="30" spans="1:24">
      <c r="A30" s="249"/>
      <c r="B30" s="364" t="s">
        <v>234</v>
      </c>
      <c r="C30" s="364"/>
      <c r="D30" s="364"/>
      <c r="E30" s="364"/>
      <c r="F30" s="359" t="s">
        <v>229</v>
      </c>
      <c r="G30" s="359"/>
      <c r="H30" s="359"/>
      <c r="I30" s="359"/>
      <c r="J30" s="360" t="s">
        <v>332</v>
      </c>
      <c r="K30" s="360"/>
      <c r="L30" s="275"/>
      <c r="U30" s="214">
        <f>IF(K22="90°C",126,198)</f>
        <v>198</v>
      </c>
      <c r="V30" s="245">
        <v>35</v>
      </c>
      <c r="W30" s="245">
        <v>126</v>
      </c>
      <c r="X30" s="245">
        <v>198</v>
      </c>
    </row>
    <row r="31" spans="1:24">
      <c r="A31" s="365" t="s">
        <v>236</v>
      </c>
      <c r="B31" s="365"/>
      <c r="C31" s="366"/>
      <c r="D31" s="76"/>
      <c r="E31" s="273" t="s">
        <v>235</v>
      </c>
      <c r="F31" s="274"/>
      <c r="G31" s="129" t="s">
        <v>226</v>
      </c>
      <c r="H31" s="134"/>
      <c r="I31" s="130"/>
      <c r="J31" s="361"/>
      <c r="K31" s="362"/>
      <c r="L31" s="276"/>
      <c r="U31" s="214">
        <f>IF(K22="90°C",198,209)</f>
        <v>209</v>
      </c>
      <c r="V31" s="245">
        <v>50</v>
      </c>
      <c r="W31" s="245">
        <v>198</v>
      </c>
      <c r="X31" s="245">
        <v>209</v>
      </c>
    </row>
    <row r="32" spans="1:24">
      <c r="A32" s="365" t="s">
        <v>237</v>
      </c>
      <c r="B32" s="365"/>
      <c r="C32" s="366"/>
      <c r="D32" s="76"/>
      <c r="E32" s="273" t="s">
        <v>87</v>
      </c>
      <c r="F32" s="274"/>
      <c r="G32" s="129" t="s">
        <v>227</v>
      </c>
      <c r="H32" s="131" t="str">
        <f>IF(H31="Cuivre",0.02314,IF(M14="Aluminium",0.03676,""))</f>
        <v/>
      </c>
      <c r="I32" s="130" t="s">
        <v>228</v>
      </c>
      <c r="J32" s="276"/>
      <c r="K32" s="276"/>
      <c r="L32" s="276"/>
    </row>
    <row r="33" spans="1:12">
      <c r="A33" s="365" t="s">
        <v>238</v>
      </c>
      <c r="B33" s="365"/>
      <c r="C33" s="366"/>
      <c r="D33" s="277"/>
      <c r="E33" s="273" t="s">
        <v>108</v>
      </c>
      <c r="F33" s="274"/>
      <c r="G33" s="274"/>
      <c r="H33" s="274"/>
      <c r="I33" s="274"/>
      <c r="J33" s="276"/>
      <c r="K33" s="276"/>
      <c r="L33" s="276"/>
    </row>
    <row r="34" spans="1:12">
      <c r="A34" s="351" t="s">
        <v>239</v>
      </c>
      <c r="B34" s="352"/>
      <c r="C34" s="352"/>
      <c r="D34" s="352"/>
      <c r="E34" s="352"/>
      <c r="F34" s="352"/>
      <c r="G34" s="352"/>
      <c r="H34" s="352"/>
      <c r="I34" s="352"/>
      <c r="J34" s="352"/>
      <c r="K34" s="352"/>
      <c r="L34" s="353"/>
    </row>
    <row r="35" spans="1:12">
      <c r="A35" s="218"/>
      <c r="B35" s="367" t="s">
        <v>338</v>
      </c>
      <c r="C35" s="367"/>
      <c r="D35" s="263" t="str">
        <f>IFERROR(IF((D31/D32)&gt;D33,(D31/D32),D33),"")</f>
        <v/>
      </c>
      <c r="E35" s="262" t="s">
        <v>108</v>
      </c>
      <c r="F35" s="262"/>
      <c r="G35" s="262"/>
      <c r="H35" s="262"/>
      <c r="I35" s="262"/>
      <c r="J35" s="262"/>
      <c r="K35" s="262"/>
      <c r="L35" s="262"/>
    </row>
    <row r="36" spans="1:12">
      <c r="A36" s="363" t="s">
        <v>231</v>
      </c>
      <c r="B36" s="363"/>
      <c r="C36" s="363"/>
      <c r="D36" s="259" t="str">
        <f>IF(D35="","",IF(D35&lt;=22,1.5,IF(D35&lt;=30,2.5,IF(D35&lt;=40,4,IF(D35&lt;=52,6,IF(D35&lt;=72,10,IF(D35&lt;=97,16,IF(D35&lt;=129,25,IF(D35&lt;=160,35,IF(D35&lt;=194,50,IF(D35&lt;=248,70,IF(D135&lt;=301,95,IF(D35&lt;=349,120,IF(D35&lt;=402,150,IF(D35&lt;=459,185,"/")))))))))))))))</f>
        <v/>
      </c>
      <c r="E36" s="260" t="s">
        <v>230</v>
      </c>
      <c r="F36" s="264">
        <f>IF(D36=1.5,22,IF(D36=2.5,30,IF(D36=4,40,IF(D36=6,52,IF(D36=10,72,IF(D36=16,97,IF(D36=25,129,IF(D36=35,160,0))))))))</f>
        <v>0</v>
      </c>
      <c r="G36" s="261"/>
      <c r="H36" s="261"/>
      <c r="I36" s="261"/>
      <c r="J36" s="261"/>
      <c r="K36" s="261"/>
      <c r="L36" s="261"/>
    </row>
    <row r="37" spans="1:12" ht="18.75">
      <c r="A37" s="354" t="s">
        <v>333</v>
      </c>
      <c r="B37" s="354"/>
      <c r="C37" s="354"/>
      <c r="D37" s="251" t="s">
        <v>334</v>
      </c>
      <c r="E37" s="258">
        <f>IF(D35&gt;16,0.76*F36,IF(D35&lt;=16,0.9*F36,""))</f>
        <v>0</v>
      </c>
      <c r="F37" s="218"/>
      <c r="G37" s="218"/>
      <c r="H37" s="218"/>
      <c r="I37" s="218"/>
      <c r="J37" s="218"/>
      <c r="K37" s="218"/>
      <c r="L37" s="218"/>
    </row>
    <row r="38" spans="1:12" ht="20.25">
      <c r="A38" s="356" t="s">
        <v>240</v>
      </c>
      <c r="B38" s="356"/>
      <c r="C38" s="356"/>
      <c r="D38" s="356"/>
      <c r="E38" s="356"/>
      <c r="F38" s="356"/>
      <c r="G38" s="356"/>
      <c r="H38" s="356"/>
      <c r="I38" s="356"/>
      <c r="J38" s="356"/>
      <c r="K38" s="356"/>
      <c r="L38" s="356"/>
    </row>
    <row r="39" spans="1:12">
      <c r="A39" s="357" t="s">
        <v>241</v>
      </c>
      <c r="B39" s="357"/>
      <c r="C39" s="357"/>
      <c r="D39" s="357"/>
      <c r="E39" s="125"/>
      <c r="F39" s="125"/>
      <c r="G39" s="125"/>
      <c r="H39" s="349" t="s">
        <v>247</v>
      </c>
      <c r="I39" s="349"/>
      <c r="J39" s="349"/>
      <c r="K39" s="349"/>
      <c r="L39" s="349"/>
    </row>
    <row r="40" spans="1:12">
      <c r="A40" s="305" t="s">
        <v>242</v>
      </c>
      <c r="B40" s="305"/>
      <c r="C40" s="305"/>
      <c r="D40" s="305"/>
      <c r="E40" s="305"/>
      <c r="F40" s="348"/>
      <c r="G40" s="134"/>
      <c r="H40" s="113" t="s">
        <v>246</v>
      </c>
      <c r="I40" s="355" t="str">
        <f>IFERROR((K13*(G40+G41)*D7)/(D18*D6*K5),"")</f>
        <v/>
      </c>
      <c r="J40" s="350" t="s">
        <v>89</v>
      </c>
      <c r="K40" s="125"/>
      <c r="L40" s="125"/>
    </row>
    <row r="41" spans="1:12">
      <c r="A41" s="305" t="s">
        <v>243</v>
      </c>
      <c r="B41" s="305"/>
      <c r="C41" s="305"/>
      <c r="D41" s="305"/>
      <c r="E41" s="305"/>
      <c r="F41" s="348"/>
      <c r="G41" s="134"/>
      <c r="H41" s="113" t="s">
        <v>246</v>
      </c>
      <c r="I41" s="355"/>
      <c r="J41" s="350"/>
      <c r="K41" s="125"/>
      <c r="L41" s="125"/>
    </row>
    <row r="42" spans="1:12">
      <c r="A42" s="305" t="s">
        <v>244</v>
      </c>
      <c r="B42" s="305"/>
      <c r="C42" s="305"/>
      <c r="D42" s="305"/>
      <c r="E42" s="305"/>
      <c r="F42" s="348"/>
      <c r="G42" s="134"/>
      <c r="H42" s="113" t="s">
        <v>246</v>
      </c>
      <c r="I42" s="111" t="str">
        <f>IFERROR((K21*2*K6*D7)/(D27*K5*D6),"")</f>
        <v/>
      </c>
      <c r="J42" s="113" t="s">
        <v>89</v>
      </c>
      <c r="K42" s="125"/>
      <c r="L42" s="125"/>
    </row>
    <row r="43" spans="1:12">
      <c r="A43" s="305" t="s">
        <v>245</v>
      </c>
      <c r="B43" s="305"/>
      <c r="C43" s="305"/>
      <c r="D43" s="305"/>
      <c r="E43" s="305"/>
      <c r="F43" s="348"/>
      <c r="G43" s="134"/>
      <c r="H43" s="113" t="s">
        <v>246</v>
      </c>
      <c r="I43" s="124" t="str">
        <f>IFERROR((H32*2*(D31/D32))/(D36*D32),"")</f>
        <v/>
      </c>
      <c r="J43" s="113" t="s">
        <v>89</v>
      </c>
      <c r="K43" s="125"/>
      <c r="L43" s="125"/>
    </row>
    <row r="44" spans="1:12">
      <c r="A44" s="133"/>
      <c r="B44" s="133"/>
      <c r="C44" s="133"/>
      <c r="D44" s="133"/>
      <c r="E44" s="133"/>
      <c r="F44" s="133"/>
      <c r="G44" s="133"/>
      <c r="H44" s="133"/>
      <c r="I44" s="133"/>
      <c r="J44" s="133"/>
      <c r="K44" s="133"/>
      <c r="L44" s="133"/>
    </row>
    <row r="45" spans="1:12">
      <c r="A45" s="133"/>
      <c r="B45" s="133"/>
      <c r="C45" s="133"/>
      <c r="D45" s="133"/>
      <c r="E45" s="133"/>
      <c r="F45" s="133"/>
      <c r="G45" s="133"/>
      <c r="H45" s="133"/>
      <c r="I45" s="133"/>
      <c r="J45" s="133"/>
      <c r="K45" s="133"/>
      <c r="L45" s="133"/>
    </row>
  </sheetData>
  <sheetProtection password="DEB3" sheet="1" objects="1" scenarios="1"/>
  <mergeCells count="65">
    <mergeCell ref="B4:E4"/>
    <mergeCell ref="B5:C5"/>
    <mergeCell ref="A28:L28"/>
    <mergeCell ref="A13:C14"/>
    <mergeCell ref="G15:L15"/>
    <mergeCell ref="G18:J18"/>
    <mergeCell ref="A21:C22"/>
    <mergeCell ref="G27:J27"/>
    <mergeCell ref="A19:L19"/>
    <mergeCell ref="A20:C20"/>
    <mergeCell ref="D20:E20"/>
    <mergeCell ref="G16:J17"/>
    <mergeCell ref="A15:C15"/>
    <mergeCell ref="A18:C18"/>
    <mergeCell ref="A16:C16"/>
    <mergeCell ref="A17:C17"/>
    <mergeCell ref="A11:L11"/>
    <mergeCell ref="A12:C12"/>
    <mergeCell ref="D12:E12"/>
    <mergeCell ref="H10:I10"/>
    <mergeCell ref="A2:AK2"/>
    <mergeCell ref="A3:M3"/>
    <mergeCell ref="A6:C6"/>
    <mergeCell ref="A7:C7"/>
    <mergeCell ref="A8:C8"/>
    <mergeCell ref="A9:C9"/>
    <mergeCell ref="G4:L4"/>
    <mergeCell ref="H5:J5"/>
    <mergeCell ref="H6:J6"/>
    <mergeCell ref="H7:I7"/>
    <mergeCell ref="H8:I8"/>
    <mergeCell ref="H9:I9"/>
    <mergeCell ref="M27:P27"/>
    <mergeCell ref="A24:C24"/>
    <mergeCell ref="A25:C25"/>
    <mergeCell ref="A26:C26"/>
    <mergeCell ref="A27:C27"/>
    <mergeCell ref="G25:J26"/>
    <mergeCell ref="G24:L24"/>
    <mergeCell ref="A29:L29"/>
    <mergeCell ref="F30:I30"/>
    <mergeCell ref="J30:K30"/>
    <mergeCell ref="J31:K31"/>
    <mergeCell ref="A36:C36"/>
    <mergeCell ref="B30:E30"/>
    <mergeCell ref="A31:C31"/>
    <mergeCell ref="A32:C32"/>
    <mergeCell ref="A33:C33"/>
    <mergeCell ref="B35:C35"/>
    <mergeCell ref="A42:F42"/>
    <mergeCell ref="A43:F43"/>
    <mergeCell ref="H39:L39"/>
    <mergeCell ref="J40:J41"/>
    <mergeCell ref="A34:L34"/>
    <mergeCell ref="A37:C37"/>
    <mergeCell ref="I40:I41"/>
    <mergeCell ref="A38:L38"/>
    <mergeCell ref="A39:D39"/>
    <mergeCell ref="A40:F40"/>
    <mergeCell ref="A41:F41"/>
    <mergeCell ref="G12:I12"/>
    <mergeCell ref="G14:J14"/>
    <mergeCell ref="G20:I20"/>
    <mergeCell ref="G22:J22"/>
    <mergeCell ref="G23:J23"/>
  </mergeCells>
  <dataValidations count="5">
    <dataValidation type="list" allowBlank="1" showInputMessage="1" showErrorMessage="1" sqref="K14 K22">
      <formula1>"90°C,120°C"</formula1>
    </dataValidation>
    <dataValidation type="list" allowBlank="1" showInputMessage="1" showErrorMessage="1" sqref="D12:E12 D20:E20">
      <formula1>"Fusible,Disjoncteur"</formula1>
    </dataValidation>
    <dataValidation type="list" allowBlank="1" showInputMessage="1" showErrorMessage="1" sqref="K12 K20 H31">
      <formula1>"Cuivre,Aluminium"</formula1>
    </dataValidation>
    <dataValidation type="list" allowBlank="1" showInputMessage="1" showErrorMessage="1" sqref="J31:K31">
      <formula1>"Disjoncteur,Fusible"</formula1>
    </dataValidation>
    <dataValidation allowBlank="1" showInputMessage="1" showErrorMessage="1" promptTitle="237 ES.Calcul Aide" prompt="Entrer le courant assigné du dispositif de protection standard disponible sur le marché choisi respectant les conditions" sqref="K17"/>
  </dataValidations>
  <pageMargins left="0.7" right="0.7" top="0.75" bottom="0.75" header="0.3" footer="0.3"/>
  <pageSetup paperSize="9" orientation="portrait" r:id="rId1"/>
  <drawing r:id="rId2"/>
  <picture r:id="rId3"/>
</worksheet>
</file>

<file path=xl/worksheets/sheet8.xml><?xml version="1.0" encoding="utf-8"?>
<worksheet xmlns="http://schemas.openxmlformats.org/spreadsheetml/2006/main" xmlns:r="http://schemas.openxmlformats.org/officeDocument/2006/relationships">
  <sheetPr codeName="Feuil8">
    <tabColor rgb="FF92D050"/>
    <pageSetUpPr fitToPage="1"/>
  </sheetPr>
  <dimension ref="A1:Q108"/>
  <sheetViews>
    <sheetView tabSelected="1" topLeftCell="A130" workbookViewId="0">
      <selection activeCell="L5" sqref="L1:L1048576"/>
    </sheetView>
  </sheetViews>
  <sheetFormatPr baseColWidth="10" defaultColWidth="11.42578125" defaultRowHeight="16.5"/>
  <cols>
    <col min="1" max="16384" width="11.42578125" style="135"/>
  </cols>
  <sheetData>
    <row r="1" spans="1:17" ht="17.25">
      <c r="A1" s="83"/>
      <c r="B1" s="83"/>
      <c r="C1" s="409" t="s">
        <v>119</v>
      </c>
      <c r="D1" s="410"/>
      <c r="E1" s="411" t="s">
        <v>341</v>
      </c>
      <c r="F1" s="412"/>
      <c r="G1" s="412"/>
      <c r="H1" s="412"/>
      <c r="I1" s="413"/>
      <c r="J1" s="414">
        <f ca="1">TODAY()</f>
        <v>43953</v>
      </c>
      <c r="K1" s="413"/>
      <c r="L1" s="411" t="s">
        <v>120</v>
      </c>
      <c r="M1" s="413"/>
      <c r="N1" s="83"/>
      <c r="O1" s="83"/>
      <c r="P1" s="83"/>
      <c r="Q1" s="83"/>
    </row>
    <row r="2" spans="1:17">
      <c r="A2" s="83"/>
      <c r="B2" s="83"/>
      <c r="C2" s="136"/>
      <c r="D2" s="137"/>
      <c r="E2" s="137"/>
      <c r="F2" s="137"/>
      <c r="G2" s="137"/>
      <c r="H2" s="137"/>
      <c r="I2" s="137"/>
      <c r="J2" s="137"/>
      <c r="K2" s="137"/>
      <c r="L2" s="137"/>
      <c r="M2" s="138"/>
      <c r="N2" s="83"/>
      <c r="O2" s="83"/>
      <c r="P2" s="83"/>
      <c r="Q2" s="83"/>
    </row>
    <row r="3" spans="1:17">
      <c r="A3" s="83"/>
      <c r="B3" s="83"/>
      <c r="C3" s="139"/>
      <c r="D3" s="140"/>
      <c r="E3" s="416" t="s">
        <v>257</v>
      </c>
      <c r="F3" s="416"/>
      <c r="G3" s="416"/>
      <c r="H3" s="416"/>
      <c r="I3" s="416"/>
      <c r="J3" s="416"/>
      <c r="K3" s="416"/>
      <c r="L3" s="140"/>
      <c r="M3" s="141"/>
      <c r="N3" s="83"/>
      <c r="O3" s="83"/>
      <c r="P3" s="83"/>
      <c r="Q3" s="83"/>
    </row>
    <row r="4" spans="1:17">
      <c r="A4" s="83"/>
      <c r="B4" s="83"/>
      <c r="C4" s="142" t="s">
        <v>121</v>
      </c>
      <c r="D4" s="399" t="s">
        <v>258</v>
      </c>
      <c r="E4" s="399"/>
      <c r="F4" s="415" t="str">
        <f>'Données du site'!B10</f>
        <v>yaoundé</v>
      </c>
      <c r="G4" s="415"/>
      <c r="H4" s="140"/>
      <c r="I4" s="140"/>
      <c r="J4" s="140"/>
      <c r="K4" s="140"/>
      <c r="L4" s="140"/>
      <c r="M4" s="141"/>
      <c r="N4" s="83"/>
      <c r="O4" s="83"/>
      <c r="P4" s="83"/>
      <c r="Q4" s="83"/>
    </row>
    <row r="5" spans="1:17">
      <c r="A5" s="83"/>
      <c r="B5" s="83"/>
      <c r="C5" s="417" t="s">
        <v>259</v>
      </c>
      <c r="D5" s="418"/>
      <c r="E5" s="415" t="str">
        <f>'Données du site'!E10</f>
        <v>SALLE DE PROF/MSP</v>
      </c>
      <c r="F5" s="415"/>
      <c r="G5" s="415"/>
      <c r="H5" s="140"/>
      <c r="I5" s="140"/>
      <c r="J5" s="140"/>
      <c r="K5" s="140"/>
      <c r="L5" s="140"/>
      <c r="M5" s="141"/>
      <c r="N5" s="83"/>
      <c r="O5" s="83"/>
      <c r="P5" s="83"/>
      <c r="Q5" s="83"/>
    </row>
    <row r="6" spans="1:17">
      <c r="A6" s="83"/>
      <c r="B6" s="83"/>
      <c r="C6" s="419" t="s">
        <v>260</v>
      </c>
      <c r="D6" s="420"/>
      <c r="E6" s="140"/>
      <c r="F6" s="140"/>
      <c r="G6" s="140"/>
      <c r="H6" s="140"/>
      <c r="I6" s="140"/>
      <c r="J6" s="140"/>
      <c r="K6" s="140"/>
      <c r="L6" s="140"/>
      <c r="M6" s="141"/>
      <c r="N6" s="83"/>
      <c r="O6" s="83"/>
      <c r="P6" s="83"/>
      <c r="Q6" s="83"/>
    </row>
    <row r="7" spans="1:17">
      <c r="A7" s="83"/>
      <c r="B7" s="83"/>
      <c r="C7" s="139"/>
      <c r="D7" s="143" t="s">
        <v>7</v>
      </c>
      <c r="E7" s="397">
        <f>'Données du site'!B14</f>
        <v>3</v>
      </c>
      <c r="F7" s="397"/>
      <c r="G7" s="140" t="s">
        <v>261</v>
      </c>
      <c r="H7" s="144" t="s">
        <v>8</v>
      </c>
      <c r="I7" s="397">
        <f>'Données du site'!B15</f>
        <v>11</v>
      </c>
      <c r="J7" s="397"/>
      <c r="K7" s="140" t="s">
        <v>262</v>
      </c>
      <c r="L7" s="140"/>
      <c r="M7" s="141"/>
      <c r="N7" s="83"/>
      <c r="O7" s="83"/>
      <c r="P7" s="83"/>
      <c r="Q7" s="83"/>
    </row>
    <row r="8" spans="1:17">
      <c r="A8" s="83"/>
      <c r="B8" s="83"/>
      <c r="C8" s="139"/>
      <c r="D8" s="140"/>
      <c r="E8" s="140"/>
      <c r="F8" s="399" t="s">
        <v>263</v>
      </c>
      <c r="G8" s="399"/>
      <c r="H8" s="145">
        <f>'Données du site'!B16</f>
        <v>700</v>
      </c>
      <c r="I8" s="140" t="s">
        <v>264</v>
      </c>
      <c r="J8" s="140"/>
      <c r="K8" s="140"/>
      <c r="L8" s="140"/>
      <c r="M8" s="141"/>
      <c r="N8" s="83"/>
      <c r="O8" s="83"/>
      <c r="P8" s="83"/>
      <c r="Q8" s="83"/>
    </row>
    <row r="9" spans="1:17">
      <c r="A9" s="83"/>
      <c r="B9" s="83"/>
      <c r="C9" s="400" t="s">
        <v>317</v>
      </c>
      <c r="D9" s="399"/>
      <c r="E9" s="237">
        <f>'Besoin électrique'!G54</f>
        <v>11.915999999999999</v>
      </c>
      <c r="F9" s="140" t="s">
        <v>318</v>
      </c>
      <c r="G9" s="140"/>
      <c r="H9" s="140"/>
      <c r="I9" s="140"/>
      <c r="J9" s="140"/>
      <c r="K9" s="140"/>
      <c r="L9" s="140"/>
      <c r="M9" s="141"/>
      <c r="N9" s="83"/>
      <c r="O9" s="83"/>
      <c r="P9" s="83"/>
      <c r="Q9" s="83"/>
    </row>
    <row r="10" spans="1:17">
      <c r="A10" s="83"/>
      <c r="B10" s="83"/>
      <c r="C10" s="419" t="s">
        <v>265</v>
      </c>
      <c r="D10" s="420"/>
      <c r="E10" s="140">
        <f>'Système PV'!D4</f>
        <v>34.353599999999993</v>
      </c>
      <c r="F10" s="140" t="s">
        <v>126</v>
      </c>
      <c r="G10" s="140"/>
      <c r="H10" s="420" t="s">
        <v>269</v>
      </c>
      <c r="I10" s="420"/>
      <c r="J10" s="420"/>
      <c r="K10" s="140">
        <f>'Système PV'!H7</f>
        <v>3</v>
      </c>
      <c r="L10" s="140" t="s">
        <v>268</v>
      </c>
      <c r="M10" s="141"/>
      <c r="N10" s="83"/>
      <c r="O10" s="83"/>
      <c r="P10" s="83"/>
      <c r="Q10" s="83"/>
    </row>
    <row r="11" spans="1:17">
      <c r="A11" s="83"/>
      <c r="B11" s="83"/>
      <c r="C11" s="421" t="s">
        <v>266</v>
      </c>
      <c r="D11" s="422"/>
      <c r="E11" s="146">
        <f>'Système PV'!H3</f>
        <v>3.7</v>
      </c>
      <c r="F11" s="146" t="s">
        <v>267</v>
      </c>
      <c r="G11" s="146"/>
      <c r="H11" s="146"/>
      <c r="I11" s="146"/>
      <c r="J11" s="146"/>
      <c r="K11" s="146"/>
      <c r="L11" s="146"/>
      <c r="M11" s="147"/>
      <c r="N11" s="83"/>
      <c r="O11" s="83"/>
      <c r="P11" s="83"/>
      <c r="Q11" s="83"/>
    </row>
    <row r="12" spans="1:17">
      <c r="A12" s="83"/>
      <c r="B12" s="83"/>
      <c r="C12" s="394" t="s">
        <v>270</v>
      </c>
      <c r="D12" s="395"/>
      <c r="E12" s="395"/>
      <c r="F12" s="137"/>
      <c r="G12" s="137"/>
      <c r="H12" s="137"/>
      <c r="I12" s="137"/>
      <c r="J12" s="137"/>
      <c r="K12" s="137"/>
      <c r="L12" s="137"/>
      <c r="M12" s="138"/>
      <c r="N12" s="83"/>
      <c r="O12" s="83"/>
      <c r="P12" s="83"/>
      <c r="Q12" s="83"/>
    </row>
    <row r="13" spans="1:17">
      <c r="A13" s="83"/>
      <c r="B13" s="83"/>
      <c r="C13" s="149"/>
      <c r="D13" s="392" t="s">
        <v>271</v>
      </c>
      <c r="E13" s="392"/>
      <c r="F13" s="148">
        <f>'Données d''irradiation'!H24</f>
        <v>0</v>
      </c>
      <c r="G13" s="146" t="s">
        <v>124</v>
      </c>
      <c r="H13" s="393" t="s">
        <v>123</v>
      </c>
      <c r="I13" s="393"/>
      <c r="J13" s="148">
        <f>'Données d''irradiation'!H23</f>
        <v>0</v>
      </c>
      <c r="K13" s="146" t="s">
        <v>124</v>
      </c>
      <c r="L13" s="146"/>
      <c r="M13" s="147"/>
      <c r="N13" s="83"/>
      <c r="O13" s="83"/>
      <c r="P13" s="83"/>
      <c r="Q13" s="83"/>
    </row>
    <row r="14" spans="1:17">
      <c r="A14" s="83"/>
      <c r="B14" s="83"/>
      <c r="C14" s="394" t="s">
        <v>272</v>
      </c>
      <c r="D14" s="395"/>
      <c r="E14" s="395"/>
      <c r="F14" s="395"/>
      <c r="G14" s="395"/>
      <c r="H14" s="395"/>
      <c r="I14" s="395"/>
      <c r="J14" s="395"/>
      <c r="K14" s="395"/>
      <c r="L14" s="395"/>
      <c r="M14" s="396"/>
      <c r="N14" s="83"/>
      <c r="O14" s="83"/>
      <c r="P14" s="83"/>
      <c r="Q14" s="83"/>
    </row>
    <row r="15" spans="1:17">
      <c r="A15" s="83"/>
      <c r="B15" s="83"/>
      <c r="C15" s="142" t="s">
        <v>125</v>
      </c>
      <c r="D15" s="397" t="str">
        <f>'Système PV'!C19</f>
        <v>Polycristallin</v>
      </c>
      <c r="E15" s="397"/>
      <c r="F15" s="143">
        <f>'Système PV'!C21</f>
        <v>125</v>
      </c>
      <c r="G15" s="140" t="s">
        <v>92</v>
      </c>
      <c r="H15" s="140"/>
      <c r="I15" s="140"/>
      <c r="J15" s="140"/>
      <c r="K15" s="140"/>
      <c r="L15" s="140"/>
      <c r="M15" s="141"/>
      <c r="N15" s="83"/>
      <c r="O15" s="83"/>
      <c r="P15" s="83"/>
      <c r="Q15" s="83"/>
    </row>
    <row r="16" spans="1:17">
      <c r="A16" s="83"/>
      <c r="B16" s="83"/>
      <c r="C16" s="398" t="s">
        <v>273</v>
      </c>
      <c r="D16" s="399"/>
      <c r="E16" s="140">
        <f>'Système PV'!C30</f>
        <v>136</v>
      </c>
      <c r="F16" s="140"/>
      <c r="G16" s="140"/>
      <c r="H16" s="140"/>
      <c r="I16" s="140"/>
      <c r="J16" s="140"/>
      <c r="K16" s="140"/>
      <c r="L16" s="140"/>
      <c r="M16" s="141"/>
      <c r="N16" s="83"/>
      <c r="O16" s="83"/>
      <c r="P16" s="83"/>
      <c r="Q16" s="83"/>
    </row>
    <row r="17" spans="1:17">
      <c r="A17" s="83"/>
      <c r="B17" s="83"/>
      <c r="C17" s="398" t="s">
        <v>274</v>
      </c>
      <c r="D17" s="399"/>
      <c r="E17" s="140">
        <f>'Système PV'!C32</f>
        <v>17</v>
      </c>
      <c r="F17" s="140" t="s">
        <v>93</v>
      </c>
      <c r="G17" s="399" t="s">
        <v>275</v>
      </c>
      <c r="H17" s="399"/>
      <c r="I17" s="399"/>
      <c r="J17" s="399"/>
      <c r="K17" s="140">
        <f>'Système PV'!F30</f>
        <v>81.599999999999994</v>
      </c>
      <c r="L17" s="140" t="s">
        <v>117</v>
      </c>
      <c r="M17" s="141"/>
      <c r="N17" s="83"/>
      <c r="O17" s="83"/>
      <c r="P17" s="83"/>
      <c r="Q17" s="83"/>
    </row>
    <row r="18" spans="1:17">
      <c r="A18" s="83"/>
      <c r="B18" s="83"/>
      <c r="C18" s="150"/>
      <c r="D18" s="140"/>
      <c r="E18" s="140"/>
      <c r="F18" s="140"/>
      <c r="G18" s="140"/>
      <c r="H18" s="140"/>
      <c r="I18" s="140"/>
      <c r="J18" s="140"/>
      <c r="K18" s="140"/>
      <c r="L18" s="140"/>
      <c r="M18" s="141"/>
      <c r="N18" s="83"/>
      <c r="O18" s="83"/>
      <c r="P18" s="83"/>
      <c r="Q18" s="83"/>
    </row>
    <row r="19" spans="1:17">
      <c r="A19" s="83"/>
      <c r="B19" s="83"/>
      <c r="C19" s="404" t="s">
        <v>276</v>
      </c>
      <c r="D19" s="405"/>
      <c r="E19" s="140" t="str">
        <f>'Système PV'!H19</f>
        <v>PNW</v>
      </c>
      <c r="F19" s="140">
        <f>'Système PV'!H21</f>
        <v>12</v>
      </c>
      <c r="G19" s="140" t="s">
        <v>87</v>
      </c>
      <c r="H19" s="140">
        <f>'Système PV'!H26</f>
        <v>12</v>
      </c>
      <c r="I19" s="140" t="s">
        <v>108</v>
      </c>
      <c r="J19" s="140"/>
      <c r="K19" s="140"/>
      <c r="L19" s="140"/>
      <c r="M19" s="141"/>
      <c r="N19" s="83"/>
      <c r="O19" s="83"/>
      <c r="P19" s="83"/>
      <c r="Q19" s="83"/>
    </row>
    <row r="20" spans="1:17">
      <c r="A20" s="83"/>
      <c r="B20" s="83"/>
      <c r="C20" s="398" t="s">
        <v>277</v>
      </c>
      <c r="D20" s="399"/>
      <c r="E20" s="399"/>
      <c r="F20" s="145">
        <f>'Système PV'!H36</f>
        <v>13</v>
      </c>
      <c r="G20" s="140"/>
      <c r="H20" s="140"/>
      <c r="I20" s="140"/>
      <c r="J20" s="140"/>
      <c r="K20" s="140"/>
      <c r="L20" s="140"/>
      <c r="M20" s="141"/>
      <c r="N20" s="83"/>
      <c r="O20" s="83"/>
      <c r="P20" s="83"/>
      <c r="Q20" s="83"/>
    </row>
    <row r="21" spans="1:17">
      <c r="A21" s="83"/>
      <c r="B21" s="83"/>
      <c r="C21" s="398" t="s">
        <v>278</v>
      </c>
      <c r="D21" s="399"/>
      <c r="E21" s="399"/>
      <c r="F21" s="145">
        <f>'Système PV'!H37</f>
        <v>1</v>
      </c>
      <c r="G21" s="140"/>
      <c r="H21" s="140"/>
      <c r="I21" s="140"/>
      <c r="J21" s="140"/>
      <c r="K21" s="140"/>
      <c r="L21" s="140"/>
      <c r="M21" s="141"/>
      <c r="N21" s="83"/>
      <c r="O21" s="83"/>
      <c r="P21" s="83"/>
      <c r="Q21" s="83"/>
    </row>
    <row r="22" spans="1:17">
      <c r="A22" s="83"/>
      <c r="B22" s="83"/>
      <c r="C22" s="398" t="s">
        <v>216</v>
      </c>
      <c r="D22" s="399"/>
      <c r="E22" s="399"/>
      <c r="F22" s="145">
        <f>'Système PV'!C35</f>
        <v>11</v>
      </c>
      <c r="G22" s="140"/>
      <c r="H22" s="140"/>
      <c r="I22" s="140"/>
      <c r="J22" s="140"/>
      <c r="K22" s="140"/>
      <c r="L22" s="140"/>
      <c r="M22" s="141"/>
      <c r="N22" s="83"/>
      <c r="O22" s="83"/>
      <c r="P22" s="83"/>
      <c r="Q22" s="83"/>
    </row>
    <row r="23" spans="1:17">
      <c r="A23" s="83"/>
      <c r="B23" s="83"/>
      <c r="C23" s="404" t="s">
        <v>279</v>
      </c>
      <c r="D23" s="405"/>
      <c r="E23" s="140">
        <f>'Système PV'!M21</f>
        <v>0</v>
      </c>
      <c r="F23" s="140" t="s">
        <v>235</v>
      </c>
      <c r="G23" s="140"/>
      <c r="H23" s="140"/>
      <c r="I23" s="140"/>
      <c r="J23" s="140"/>
      <c r="K23" s="140"/>
      <c r="L23" s="140"/>
      <c r="M23" s="141"/>
      <c r="N23" s="83"/>
      <c r="O23" s="83"/>
      <c r="P23" s="83"/>
      <c r="Q23" s="83"/>
    </row>
    <row r="24" spans="1:17">
      <c r="A24" s="83"/>
      <c r="B24" s="83"/>
      <c r="C24" s="406" t="s">
        <v>220</v>
      </c>
      <c r="D24" s="407"/>
      <c r="E24" s="407"/>
      <c r="F24" s="148" t="str">
        <f>'Système PV'!C39</f>
        <v/>
      </c>
      <c r="G24" s="146"/>
      <c r="H24" s="146"/>
      <c r="I24" s="146"/>
      <c r="J24" s="146"/>
      <c r="K24" s="146"/>
      <c r="L24" s="146"/>
      <c r="M24" s="147"/>
      <c r="N24" s="83"/>
      <c r="O24" s="83"/>
      <c r="P24" s="83"/>
      <c r="Q24" s="83"/>
    </row>
    <row r="25" spans="1:17">
      <c r="A25" s="83"/>
      <c r="B25" s="83"/>
      <c r="C25" s="394" t="s">
        <v>283</v>
      </c>
      <c r="D25" s="395"/>
      <c r="E25" s="395"/>
      <c r="F25" s="395"/>
      <c r="G25" s="395"/>
      <c r="H25" s="395"/>
      <c r="I25" s="395"/>
      <c r="J25" s="395"/>
      <c r="K25" s="395"/>
      <c r="L25" s="395"/>
      <c r="M25" s="396"/>
      <c r="N25" s="83"/>
      <c r="O25" s="83"/>
      <c r="P25" s="83"/>
      <c r="Q25" s="83"/>
    </row>
    <row r="26" spans="1:17">
      <c r="A26" s="83"/>
      <c r="B26" s="83"/>
      <c r="C26" s="156" t="s">
        <v>284</v>
      </c>
      <c r="D26" s="397" t="str">
        <f>'Système PV'!C12</f>
        <v>OPzV</v>
      </c>
      <c r="E26" s="397"/>
      <c r="F26" s="152">
        <f>'Système PV'!C14</f>
        <v>12</v>
      </c>
      <c r="G26" s="154" t="s">
        <v>87</v>
      </c>
      <c r="H26" s="152">
        <f>'Système PV'!C13</f>
        <v>200</v>
      </c>
      <c r="I26" s="154" t="s">
        <v>90</v>
      </c>
      <c r="J26" s="155"/>
      <c r="K26" s="155"/>
      <c r="L26" s="155"/>
      <c r="M26" s="157"/>
      <c r="N26" s="83"/>
      <c r="O26" s="83"/>
      <c r="P26" s="83"/>
      <c r="Q26" s="83"/>
    </row>
    <row r="27" spans="1:17">
      <c r="A27" s="83"/>
      <c r="B27" s="83"/>
      <c r="C27" s="398" t="s">
        <v>285</v>
      </c>
      <c r="D27" s="399"/>
      <c r="E27" s="399"/>
      <c r="F27" s="153">
        <f>'Système PV'!J10</f>
        <v>4</v>
      </c>
      <c r="G27" s="155"/>
      <c r="H27" s="155"/>
      <c r="I27" s="155"/>
      <c r="J27" s="155"/>
      <c r="K27" s="155"/>
      <c r="L27" s="155"/>
      <c r="M27" s="157"/>
      <c r="N27" s="83"/>
      <c r="O27" s="83"/>
      <c r="P27" s="83"/>
      <c r="Q27" s="83"/>
    </row>
    <row r="28" spans="1:17">
      <c r="A28" s="83"/>
      <c r="B28" s="83"/>
      <c r="C28" s="398" t="s">
        <v>286</v>
      </c>
      <c r="D28" s="399"/>
      <c r="E28" s="399"/>
      <c r="F28" s="153">
        <f>'Système PV'!J11</f>
        <v>1</v>
      </c>
      <c r="G28" s="153"/>
      <c r="H28" s="155"/>
      <c r="I28" s="155"/>
      <c r="J28" s="155"/>
      <c r="K28" s="155"/>
      <c r="L28" s="155"/>
      <c r="M28" s="157"/>
      <c r="N28" s="83"/>
      <c r="O28" s="83"/>
      <c r="P28" s="83"/>
      <c r="Q28" s="83"/>
    </row>
    <row r="29" spans="1:17">
      <c r="A29" s="83"/>
      <c r="B29" s="83"/>
      <c r="C29" s="398" t="s">
        <v>287</v>
      </c>
      <c r="D29" s="399"/>
      <c r="E29" s="399"/>
      <c r="F29" s="153">
        <f>'Système PV'!J14</f>
        <v>4</v>
      </c>
      <c r="G29" s="155"/>
      <c r="H29" s="155"/>
      <c r="I29" s="399"/>
      <c r="J29" s="399"/>
      <c r="K29" s="163"/>
      <c r="L29" s="162"/>
      <c r="M29" s="157"/>
      <c r="N29" s="83"/>
      <c r="O29" s="83"/>
      <c r="P29" s="83"/>
      <c r="Q29" s="83"/>
    </row>
    <row r="30" spans="1:17">
      <c r="A30" s="83"/>
      <c r="B30" s="83"/>
      <c r="C30" s="398" t="s">
        <v>288</v>
      </c>
      <c r="D30" s="399"/>
      <c r="E30" s="399"/>
      <c r="F30" s="153">
        <f>'Système PV'!J13</f>
        <v>200</v>
      </c>
      <c r="G30" s="154" t="s">
        <v>90</v>
      </c>
      <c r="H30" s="155"/>
      <c r="I30" s="155"/>
      <c r="J30" s="155"/>
      <c r="K30" s="155"/>
      <c r="L30" s="155"/>
      <c r="M30" s="157"/>
      <c r="N30" s="83"/>
      <c r="O30" s="83"/>
      <c r="P30" s="83"/>
      <c r="Q30" s="83"/>
    </row>
    <row r="31" spans="1:17">
      <c r="A31" s="83"/>
      <c r="B31" s="83"/>
      <c r="C31" s="406" t="s">
        <v>289</v>
      </c>
      <c r="D31" s="407"/>
      <c r="E31" s="407"/>
      <c r="F31" s="153">
        <f>'Système PV'!J12</f>
        <v>48</v>
      </c>
      <c r="G31" s="140" t="s">
        <v>87</v>
      </c>
      <c r="H31" s="140"/>
      <c r="I31" s="140"/>
      <c r="J31" s="140"/>
      <c r="K31" s="140"/>
      <c r="L31" s="140"/>
      <c r="M31" s="141"/>
      <c r="N31" s="83"/>
      <c r="O31" s="83"/>
      <c r="P31" s="83"/>
      <c r="Q31" s="83"/>
    </row>
    <row r="32" spans="1:17">
      <c r="A32" s="83"/>
      <c r="B32" s="83"/>
      <c r="C32" s="401" t="s">
        <v>280</v>
      </c>
      <c r="D32" s="402"/>
      <c r="E32" s="402"/>
      <c r="F32" s="402"/>
      <c r="G32" s="402"/>
      <c r="H32" s="402"/>
      <c r="I32" s="402"/>
      <c r="J32" s="402"/>
      <c r="K32" s="402"/>
      <c r="L32" s="402"/>
      <c r="M32" s="403"/>
      <c r="N32" s="83"/>
      <c r="O32" s="83"/>
      <c r="P32" s="83"/>
      <c r="Q32" s="83"/>
    </row>
    <row r="33" spans="1:17">
      <c r="A33" s="83"/>
      <c r="B33" s="83"/>
      <c r="C33" s="139"/>
      <c r="D33" s="140"/>
      <c r="E33" s="140"/>
      <c r="F33" s="140"/>
      <c r="G33" s="140"/>
      <c r="H33" s="140"/>
      <c r="I33" s="140"/>
      <c r="J33" s="140"/>
      <c r="K33" s="140"/>
      <c r="L33" s="140"/>
      <c r="M33" s="141"/>
      <c r="N33" s="83"/>
      <c r="O33" s="83"/>
      <c r="P33" s="83"/>
      <c r="Q33" s="83"/>
    </row>
    <row r="34" spans="1:17">
      <c r="A34" s="83"/>
      <c r="B34" s="83"/>
      <c r="C34" s="139"/>
      <c r="D34" s="140"/>
      <c r="E34" s="140" t="s">
        <v>65</v>
      </c>
      <c r="F34" s="140" t="s">
        <v>136</v>
      </c>
      <c r="G34" s="140" t="s">
        <v>135</v>
      </c>
      <c r="H34" s="140" t="s">
        <v>282</v>
      </c>
      <c r="I34" s="140"/>
      <c r="J34" s="140"/>
      <c r="K34" s="140"/>
      <c r="L34" s="140"/>
      <c r="M34" s="141"/>
      <c r="N34" s="83"/>
      <c r="O34" s="83"/>
      <c r="P34" s="83"/>
      <c r="Q34" s="83"/>
    </row>
    <row r="35" spans="1:17">
      <c r="A35" s="83"/>
      <c r="B35" s="83"/>
      <c r="C35" s="139"/>
      <c r="D35" s="140"/>
      <c r="E35" s="140" t="s">
        <v>66</v>
      </c>
      <c r="F35" s="140">
        <f>'Système PV'!C32*Rapport!H35*'Système PV'!H4</f>
        <v>0</v>
      </c>
      <c r="G35" s="140">
        <f>'Système PV'!D4</f>
        <v>34.353599999999993</v>
      </c>
      <c r="H35" s="140">
        <f>'Données d''irradiation'!L4</f>
        <v>0</v>
      </c>
      <c r="I35" s="140"/>
      <c r="J35" s="140"/>
      <c r="K35" s="140"/>
      <c r="L35" s="140"/>
      <c r="M35" s="141"/>
      <c r="N35" s="83"/>
      <c r="O35" s="83"/>
      <c r="P35" s="83"/>
      <c r="Q35" s="83"/>
    </row>
    <row r="36" spans="1:17">
      <c r="A36" s="83"/>
      <c r="B36" s="83"/>
      <c r="C36" s="139"/>
      <c r="D36" s="140"/>
      <c r="E36" s="140" t="s">
        <v>67</v>
      </c>
      <c r="F36" s="140">
        <f>'Système PV'!C32*Rapport!H36*'Système PV'!H4</f>
        <v>0</v>
      </c>
      <c r="G36" s="140">
        <f>'Système PV'!D4</f>
        <v>34.353599999999993</v>
      </c>
      <c r="H36" s="140">
        <f>'Données d''irradiation'!L5</f>
        <v>0</v>
      </c>
      <c r="I36" s="140"/>
      <c r="J36" s="140"/>
      <c r="K36" s="140"/>
      <c r="L36" s="140"/>
      <c r="M36" s="141"/>
      <c r="N36" s="83"/>
      <c r="O36" s="83"/>
      <c r="P36" s="83"/>
      <c r="Q36" s="83"/>
    </row>
    <row r="37" spans="1:17">
      <c r="A37" s="83"/>
      <c r="B37" s="83"/>
      <c r="C37" s="139"/>
      <c r="D37" s="140"/>
      <c r="E37" s="140" t="s">
        <v>132</v>
      </c>
      <c r="F37" s="140">
        <f>'Système PV'!C32*Rapport!H37*'Système PV'!H4</f>
        <v>0</v>
      </c>
      <c r="G37" s="140">
        <f>'Système PV'!D4</f>
        <v>34.353599999999993</v>
      </c>
      <c r="H37" s="140">
        <f>'Données d''irradiation'!L6</f>
        <v>0</v>
      </c>
      <c r="I37" s="140"/>
      <c r="J37" s="140"/>
      <c r="K37" s="140"/>
      <c r="L37" s="140"/>
      <c r="M37" s="141"/>
      <c r="N37" s="83"/>
      <c r="O37" s="83"/>
      <c r="P37" s="83"/>
      <c r="Q37" s="83"/>
    </row>
    <row r="38" spans="1:17">
      <c r="A38" s="83"/>
      <c r="B38" s="83"/>
      <c r="C38" s="139"/>
      <c r="D38" s="140"/>
      <c r="E38" s="140" t="s">
        <v>69</v>
      </c>
      <c r="F38" s="140">
        <f>'Système PV'!C32*Rapport!H38*'Système PV'!H4</f>
        <v>0</v>
      </c>
      <c r="G38" s="140">
        <f>'Système PV'!D4</f>
        <v>34.353599999999993</v>
      </c>
      <c r="H38" s="140">
        <f>'Données d''irradiation'!L7</f>
        <v>0</v>
      </c>
      <c r="I38" s="140"/>
      <c r="J38" s="140"/>
      <c r="K38" s="140"/>
      <c r="L38" s="140"/>
      <c r="M38" s="141"/>
      <c r="N38" s="83"/>
      <c r="O38" s="83"/>
      <c r="P38" s="83"/>
      <c r="Q38" s="83"/>
    </row>
    <row r="39" spans="1:17">
      <c r="A39" s="83"/>
      <c r="B39" s="83"/>
      <c r="C39" s="139"/>
      <c r="D39" s="140"/>
      <c r="E39" s="140" t="s">
        <v>70</v>
      </c>
      <c r="F39" s="140">
        <f>'Système PV'!C32*Rapport!H39*'Système PV'!H4</f>
        <v>0</v>
      </c>
      <c r="G39" s="140">
        <f>'Système PV'!D4</f>
        <v>34.353599999999993</v>
      </c>
      <c r="H39" s="140">
        <f>'Données d''irradiation'!L8</f>
        <v>0</v>
      </c>
      <c r="I39" s="140"/>
      <c r="J39" s="140"/>
      <c r="K39" s="140"/>
      <c r="L39" s="140"/>
      <c r="M39" s="141"/>
      <c r="N39" s="83"/>
      <c r="O39" s="83"/>
      <c r="P39" s="83"/>
      <c r="Q39" s="83"/>
    </row>
    <row r="40" spans="1:17">
      <c r="A40" s="83"/>
      <c r="B40" s="83"/>
      <c r="C40" s="139"/>
      <c r="D40" s="140"/>
      <c r="E40" s="140" t="s">
        <v>71</v>
      </c>
      <c r="F40" s="140">
        <f>'Système PV'!C32*Rapport!H40*'Système PV'!H4</f>
        <v>0</v>
      </c>
      <c r="G40" s="140">
        <f>'Système PV'!D4</f>
        <v>34.353599999999993</v>
      </c>
      <c r="H40" s="140">
        <f>'Données d''irradiation'!L9</f>
        <v>0</v>
      </c>
      <c r="I40" s="140"/>
      <c r="J40" s="140"/>
      <c r="K40" s="140"/>
      <c r="L40" s="140"/>
      <c r="M40" s="141"/>
      <c r="N40" s="83"/>
      <c r="O40" s="83"/>
      <c r="P40" s="83"/>
      <c r="Q40" s="83"/>
    </row>
    <row r="41" spans="1:17">
      <c r="A41" s="83"/>
      <c r="B41" s="83"/>
      <c r="C41" s="139"/>
      <c r="D41" s="140"/>
      <c r="E41" s="140" t="s">
        <v>134</v>
      </c>
      <c r="F41" s="140">
        <f>'Système PV'!C32*Rapport!H41*'Système PV'!H4</f>
        <v>0</v>
      </c>
      <c r="G41" s="140">
        <f>'Système PV'!D4</f>
        <v>34.353599999999993</v>
      </c>
      <c r="H41" s="140">
        <f>'Données d''irradiation'!L10</f>
        <v>0</v>
      </c>
      <c r="I41" s="140"/>
      <c r="J41" s="140"/>
      <c r="K41" s="140"/>
      <c r="L41" s="140"/>
      <c r="M41" s="141"/>
      <c r="N41" s="83"/>
      <c r="O41" s="83"/>
      <c r="P41" s="83"/>
      <c r="Q41" s="83"/>
    </row>
    <row r="42" spans="1:17">
      <c r="A42" s="83"/>
      <c r="B42" s="83"/>
      <c r="C42" s="139"/>
      <c r="D42" s="140"/>
      <c r="E42" s="140" t="s">
        <v>133</v>
      </c>
      <c r="F42" s="140">
        <f>'Système PV'!C32*Rapport!H42*'Système PV'!H4</f>
        <v>0</v>
      </c>
      <c r="G42" s="140">
        <f>'Système PV'!D4</f>
        <v>34.353599999999993</v>
      </c>
      <c r="H42" s="140">
        <f>'Données d''irradiation'!L11</f>
        <v>0</v>
      </c>
      <c r="I42" s="140"/>
      <c r="J42" s="140"/>
      <c r="K42" s="140"/>
      <c r="L42" s="140"/>
      <c r="M42" s="141"/>
      <c r="N42" s="83"/>
      <c r="O42" s="83"/>
      <c r="P42" s="83"/>
      <c r="Q42" s="83"/>
    </row>
    <row r="43" spans="1:17">
      <c r="A43" s="83"/>
      <c r="B43" s="83"/>
      <c r="C43" s="139"/>
      <c r="D43" s="140"/>
      <c r="E43" s="140" t="s">
        <v>281</v>
      </c>
      <c r="F43" s="140">
        <f>'Système PV'!C32*Rapport!H43*'Système PV'!H4</f>
        <v>0</v>
      </c>
      <c r="G43" s="140">
        <f>'Système PV'!D4</f>
        <v>34.353599999999993</v>
      </c>
      <c r="H43" s="140">
        <f>'Données d''irradiation'!L12</f>
        <v>0</v>
      </c>
      <c r="I43" s="140"/>
      <c r="J43" s="140"/>
      <c r="K43" s="140"/>
      <c r="L43" s="140"/>
      <c r="M43" s="141"/>
      <c r="N43" s="83"/>
      <c r="O43" s="83"/>
      <c r="P43" s="83"/>
      <c r="Q43" s="83"/>
    </row>
    <row r="44" spans="1:17">
      <c r="A44" s="83"/>
      <c r="B44" s="83"/>
      <c r="C44" s="139"/>
      <c r="D44" s="140"/>
      <c r="E44" s="140" t="s">
        <v>75</v>
      </c>
      <c r="F44" s="140">
        <f>'Système PV'!C32*Rapport!H44*'Système PV'!H4</f>
        <v>0</v>
      </c>
      <c r="G44" s="140">
        <f>'Système PV'!D4</f>
        <v>34.353599999999993</v>
      </c>
      <c r="H44" s="140">
        <f>'Données d''irradiation'!L13</f>
        <v>0</v>
      </c>
      <c r="I44" s="140"/>
      <c r="J44" s="140"/>
      <c r="K44" s="140"/>
      <c r="L44" s="140"/>
      <c r="M44" s="141"/>
      <c r="N44" s="83"/>
      <c r="O44" s="83"/>
      <c r="P44" s="83"/>
      <c r="Q44" s="83"/>
    </row>
    <row r="45" spans="1:17">
      <c r="A45" s="83"/>
      <c r="B45" s="83"/>
      <c r="C45" s="139"/>
      <c r="D45" s="140"/>
      <c r="E45" s="140" t="s">
        <v>76</v>
      </c>
      <c r="F45" s="140">
        <f>'Système PV'!C32*Rapport!H45*'Système PV'!H4</f>
        <v>0</v>
      </c>
      <c r="G45" s="140">
        <f>'Système PV'!D4</f>
        <v>34.353599999999993</v>
      </c>
      <c r="H45" s="140">
        <f>'Données d''irradiation'!L14</f>
        <v>0</v>
      </c>
      <c r="I45" s="140"/>
      <c r="J45" s="140"/>
      <c r="K45" s="140"/>
      <c r="L45" s="140"/>
      <c r="M45" s="141"/>
      <c r="N45" s="83"/>
      <c r="O45" s="83"/>
      <c r="P45" s="83"/>
      <c r="Q45" s="83"/>
    </row>
    <row r="46" spans="1:17">
      <c r="A46" s="83"/>
      <c r="B46" s="83"/>
      <c r="C46" s="139"/>
      <c r="D46" s="140"/>
      <c r="E46" s="140" t="s">
        <v>77</v>
      </c>
      <c r="F46" s="140">
        <f>'Système PV'!C32*Rapport!H46*'Système PV'!H4</f>
        <v>0</v>
      </c>
      <c r="G46" s="140">
        <f>'Système PV'!D4</f>
        <v>34.353599999999993</v>
      </c>
      <c r="H46" s="140">
        <f>'Données d''irradiation'!L15</f>
        <v>0</v>
      </c>
      <c r="I46" s="140"/>
      <c r="J46" s="140"/>
      <c r="K46" s="140"/>
      <c r="L46" s="140"/>
      <c r="M46" s="141"/>
      <c r="N46" s="83"/>
      <c r="O46" s="83"/>
      <c r="P46" s="83"/>
      <c r="Q46" s="83"/>
    </row>
    <row r="47" spans="1:17">
      <c r="A47" s="83"/>
      <c r="B47" s="83"/>
      <c r="C47" s="149"/>
      <c r="D47" s="146"/>
      <c r="E47" s="146"/>
      <c r="F47" s="146"/>
      <c r="G47" s="146"/>
      <c r="H47" s="146"/>
      <c r="I47" s="146"/>
      <c r="J47" s="146"/>
      <c r="K47" s="146"/>
      <c r="L47" s="146"/>
      <c r="M47" s="147"/>
      <c r="N47" s="83"/>
      <c r="O47" s="83"/>
      <c r="P47" s="83"/>
      <c r="Q47" s="83"/>
    </row>
    <row r="48" spans="1:17">
      <c r="A48" s="83"/>
      <c r="B48" s="83"/>
      <c r="C48" s="83"/>
      <c r="D48" s="83"/>
      <c r="E48" s="83"/>
      <c r="F48" s="83"/>
      <c r="G48" s="83"/>
      <c r="H48" s="83"/>
      <c r="I48" s="83"/>
      <c r="J48" s="83"/>
      <c r="K48" s="83"/>
      <c r="L48" s="83"/>
      <c r="M48" s="83"/>
      <c r="N48" s="83"/>
      <c r="O48" s="83"/>
      <c r="P48" s="83"/>
      <c r="Q48" s="83"/>
    </row>
    <row r="49" spans="1:17" ht="17.25">
      <c r="A49" s="83"/>
      <c r="B49" s="83"/>
      <c r="C49" s="409" t="s">
        <v>119</v>
      </c>
      <c r="D49" s="410"/>
      <c r="E49" s="411" t="s">
        <v>342</v>
      </c>
      <c r="F49" s="412"/>
      <c r="G49" s="412"/>
      <c r="H49" s="412"/>
      <c r="I49" s="413"/>
      <c r="J49" s="414">
        <f ca="1">TODAY()</f>
        <v>43953</v>
      </c>
      <c r="K49" s="413"/>
      <c r="L49" s="411" t="s">
        <v>120</v>
      </c>
      <c r="M49" s="413"/>
      <c r="N49" s="83"/>
      <c r="O49" s="83"/>
      <c r="P49" s="83"/>
      <c r="Q49" s="83"/>
    </row>
    <row r="50" spans="1:17">
      <c r="A50" s="83"/>
      <c r="B50" s="83"/>
      <c r="C50" s="136"/>
      <c r="D50" s="287"/>
      <c r="E50" s="424" t="s">
        <v>355</v>
      </c>
      <c r="F50" s="424"/>
      <c r="G50" s="424"/>
      <c r="H50" s="424"/>
      <c r="I50" s="424"/>
      <c r="J50" s="424"/>
      <c r="K50" s="424"/>
      <c r="L50" s="287"/>
      <c r="M50" s="138"/>
      <c r="N50" s="83"/>
      <c r="O50" s="83"/>
      <c r="P50" s="83"/>
      <c r="Q50" s="83"/>
    </row>
    <row r="51" spans="1:17">
      <c r="A51" s="83"/>
      <c r="B51" s="83"/>
      <c r="C51" s="149"/>
      <c r="D51" s="287"/>
      <c r="E51" s="425"/>
      <c r="F51" s="425"/>
      <c r="G51" s="425"/>
      <c r="H51" s="425"/>
      <c r="I51" s="425"/>
      <c r="J51" s="425"/>
      <c r="K51" s="425"/>
      <c r="L51" s="287"/>
      <c r="M51" s="147"/>
      <c r="N51" s="83"/>
      <c r="O51" s="83"/>
      <c r="P51" s="83"/>
      <c r="Q51" s="83"/>
    </row>
    <row r="52" spans="1:17">
      <c r="A52" s="83"/>
      <c r="B52" s="83"/>
      <c r="C52" s="427" t="s">
        <v>343</v>
      </c>
      <c r="D52" s="427"/>
      <c r="E52" s="427" t="s">
        <v>344</v>
      </c>
      <c r="F52" s="426" t="s">
        <v>348</v>
      </c>
      <c r="G52" s="426"/>
      <c r="H52" s="427" t="s">
        <v>345</v>
      </c>
      <c r="I52" s="427"/>
      <c r="J52" s="427" t="s">
        <v>346</v>
      </c>
      <c r="K52" s="427"/>
      <c r="L52" s="408" t="s">
        <v>347</v>
      </c>
      <c r="M52" s="408"/>
      <c r="N52" s="83"/>
      <c r="O52" s="83"/>
      <c r="P52" s="83"/>
      <c r="Q52" s="83"/>
    </row>
    <row r="53" spans="1:17">
      <c r="A53" s="83"/>
      <c r="B53" s="83"/>
      <c r="C53" s="427"/>
      <c r="D53" s="427"/>
      <c r="E53" s="427"/>
      <c r="F53" s="284" t="s">
        <v>349</v>
      </c>
      <c r="G53" s="284" t="s">
        <v>350</v>
      </c>
      <c r="H53" s="427"/>
      <c r="I53" s="427"/>
      <c r="J53" s="427"/>
      <c r="K53" s="427"/>
      <c r="L53" s="408"/>
      <c r="M53" s="408"/>
      <c r="N53" s="83"/>
      <c r="O53" s="83"/>
      <c r="P53" s="83"/>
      <c r="Q53" s="83"/>
    </row>
    <row r="54" spans="1:17">
      <c r="A54" s="83"/>
      <c r="B54" s="83"/>
      <c r="C54" s="428" t="s">
        <v>351</v>
      </c>
      <c r="D54" s="429"/>
      <c r="E54" s="429"/>
      <c r="F54" s="429"/>
      <c r="G54" s="429"/>
      <c r="H54" s="429"/>
      <c r="I54" s="429"/>
      <c r="J54" s="429"/>
      <c r="K54" s="429"/>
      <c r="L54" s="429"/>
      <c r="M54" s="430"/>
      <c r="N54" s="83"/>
      <c r="O54" s="83"/>
      <c r="P54" s="83"/>
      <c r="Q54" s="83"/>
    </row>
    <row r="55" spans="1:17">
      <c r="A55" s="83"/>
      <c r="B55" s="83"/>
      <c r="C55" s="423" t="str">
        <f>IF('Besoin électrique'!A3=0,"",'Besoin électrique'!A3)</f>
        <v>LAMPES</v>
      </c>
      <c r="D55" s="423"/>
      <c r="E55" s="285">
        <f>IF('Besoin électrique'!B3=0,"",'Besoin électrique'!B3)</f>
        <v>16</v>
      </c>
      <c r="F55" s="285">
        <f>IF('Besoin électrique'!C3=0,"",'Besoin électrique'!C3)</f>
        <v>8</v>
      </c>
      <c r="G55" s="285" t="str">
        <f>IF('Besoin électrique'!D3=0,"",'Besoin électrique'!D3)</f>
        <v/>
      </c>
      <c r="H55" s="434">
        <f>IF('Besoin électrique'!E3=0,"",'Besoin électrique'!E3)</f>
        <v>36</v>
      </c>
      <c r="I55" s="435"/>
      <c r="J55" s="434">
        <f>IF('Besoin électrique'!G3=0,"",'Besoin électrique'!G3)</f>
        <v>0.57599999999999996</v>
      </c>
      <c r="K55" s="435"/>
      <c r="L55" s="434">
        <f>IF('Besoin électrique'!H3=0,"",'Besoin électrique'!H3)</f>
        <v>4.6079999999999997</v>
      </c>
      <c r="M55" s="435"/>
      <c r="N55" s="83"/>
      <c r="O55" s="83"/>
      <c r="P55" s="83"/>
      <c r="Q55" s="83"/>
    </row>
    <row r="56" spans="1:17">
      <c r="A56" s="83"/>
      <c r="B56" s="83"/>
      <c r="C56" s="423" t="str">
        <f>IF('Besoin électrique'!A4=0,"",'Besoin électrique'!A4)</f>
        <v>REFRIGERATEUR</v>
      </c>
      <c r="D56" s="423"/>
      <c r="E56" s="285">
        <f>IF('Besoin électrique'!B4=0,"",'Besoin électrique'!B4)</f>
        <v>1</v>
      </c>
      <c r="F56" s="285">
        <f>IF('Besoin électrique'!C4=0,"",'Besoin électrique'!C4)</f>
        <v>6</v>
      </c>
      <c r="G56" s="285">
        <f>IF('Besoin électrique'!D4=0,"",'Besoin électrique'!D4)</f>
        <v>6</v>
      </c>
      <c r="H56" s="434">
        <f>IF('Besoin électrique'!E4=0,"",'Besoin électrique'!E4)</f>
        <v>76</v>
      </c>
      <c r="I56" s="435"/>
      <c r="J56" s="434">
        <f>IF('Besoin électrique'!G4=0,"",'Besoin électrique'!G4)</f>
        <v>7.5999999999999998E-2</v>
      </c>
      <c r="K56" s="435"/>
      <c r="L56" s="434">
        <f>IF('Besoin électrique'!H4=0,"",'Besoin électrique'!H4)</f>
        <v>0.91199999999999992</v>
      </c>
      <c r="M56" s="435"/>
      <c r="N56" s="83"/>
      <c r="O56" s="83"/>
      <c r="P56" s="83"/>
      <c r="Q56" s="83"/>
    </row>
    <row r="57" spans="1:17">
      <c r="A57" s="83"/>
      <c r="B57" s="83"/>
      <c r="C57" s="423" t="str">
        <f>IF('Besoin électrique'!A5=0,"",'Besoin électrique'!A5)</f>
        <v>PRISES</v>
      </c>
      <c r="D57" s="423"/>
      <c r="E57" s="285">
        <f>IF('Besoin électrique'!B5=0,"",'Besoin électrique'!B5)</f>
        <v>4</v>
      </c>
      <c r="F57" s="285">
        <f>IF('Besoin électrique'!C5=0,"",'Besoin électrique'!C5)</f>
        <v>2.5</v>
      </c>
      <c r="G57" s="285" t="str">
        <f>IF('Besoin électrique'!D5=0,"",'Besoin électrique'!D5)</f>
        <v/>
      </c>
      <c r="H57" s="434">
        <f>IF('Besoin électrique'!E5=0,"",'Besoin électrique'!E5)</f>
        <v>2816</v>
      </c>
      <c r="I57" s="435"/>
      <c r="J57" s="434">
        <f>IF('Besoin électrique'!G5=0,"",'Besoin électrique'!G5)</f>
        <v>11.263999999999999</v>
      </c>
      <c r="K57" s="435"/>
      <c r="L57" s="434">
        <f>IF('Besoin électrique'!H5=0,"",'Besoin électrique'!H5)</f>
        <v>28.159999999999997</v>
      </c>
      <c r="M57" s="435"/>
      <c r="N57" s="83"/>
      <c r="O57" s="83"/>
      <c r="P57" s="83"/>
      <c r="Q57" s="83"/>
    </row>
    <row r="58" spans="1:17">
      <c r="A58" s="83"/>
      <c r="B58" s="83"/>
      <c r="C58" s="423" t="str">
        <f>IF('Besoin électrique'!A6=0,"",'Besoin électrique'!A6)</f>
        <v/>
      </c>
      <c r="D58" s="423"/>
      <c r="E58" s="285" t="str">
        <f>IF('Besoin électrique'!B6=0,"",'Besoin électrique'!B6)</f>
        <v/>
      </c>
      <c r="F58" s="285" t="str">
        <f>IF('Besoin électrique'!C6=0,"",'Besoin électrique'!C6)</f>
        <v/>
      </c>
      <c r="G58" s="285" t="str">
        <f>IF('Besoin électrique'!D6=0,"",'Besoin électrique'!D6)</f>
        <v/>
      </c>
      <c r="H58" s="434" t="str">
        <f>IF('Besoin électrique'!E6=0,"",'Besoin électrique'!E6)</f>
        <v/>
      </c>
      <c r="I58" s="435"/>
      <c r="J58" s="434" t="str">
        <f>IF('Besoin électrique'!G6=0,"",'Besoin électrique'!G6)</f>
        <v/>
      </c>
      <c r="K58" s="435"/>
      <c r="L58" s="434" t="str">
        <f>IF('Besoin électrique'!H6=0,"",'Besoin électrique'!H6)</f>
        <v/>
      </c>
      <c r="M58" s="435"/>
      <c r="N58" s="83"/>
      <c r="O58" s="83"/>
      <c r="P58" s="83"/>
      <c r="Q58" s="83"/>
    </row>
    <row r="59" spans="1:17">
      <c r="A59" s="83"/>
      <c r="B59" s="83"/>
      <c r="C59" s="423" t="str">
        <f>IF('Besoin électrique'!A7=0,"",'Besoin électrique'!A7)</f>
        <v/>
      </c>
      <c r="D59" s="423"/>
      <c r="E59" s="285" t="str">
        <f>IF('Besoin électrique'!B7=0,"",'Besoin électrique'!B7)</f>
        <v/>
      </c>
      <c r="F59" s="285" t="str">
        <f>IF('Besoin électrique'!C7=0,"",'Besoin électrique'!C7)</f>
        <v/>
      </c>
      <c r="G59" s="285" t="str">
        <f>IF('Besoin électrique'!D7=0,"",'Besoin électrique'!D7)</f>
        <v/>
      </c>
      <c r="H59" s="434" t="str">
        <f>IF('Besoin électrique'!E7=0,"",'Besoin électrique'!E7)</f>
        <v/>
      </c>
      <c r="I59" s="435"/>
      <c r="J59" s="434" t="str">
        <f>IF('Besoin électrique'!G7=0,"",'Besoin électrique'!G7)</f>
        <v/>
      </c>
      <c r="K59" s="435"/>
      <c r="L59" s="434" t="str">
        <f>IF('Besoin électrique'!H7=0,"",'Besoin électrique'!H7)</f>
        <v/>
      </c>
      <c r="M59" s="435"/>
      <c r="N59" s="83"/>
      <c r="O59" s="83"/>
      <c r="P59" s="83"/>
      <c r="Q59" s="83"/>
    </row>
    <row r="60" spans="1:17">
      <c r="A60" s="83"/>
      <c r="B60" s="83"/>
      <c r="C60" s="423" t="str">
        <f>IF('Besoin électrique'!A8=0,"",'Besoin électrique'!A8)</f>
        <v/>
      </c>
      <c r="D60" s="423"/>
      <c r="E60" s="285" t="str">
        <f>IF('Besoin électrique'!B8=0,"",'Besoin électrique'!B8)</f>
        <v/>
      </c>
      <c r="F60" s="285" t="str">
        <f>IF('Besoin électrique'!C8=0,"",'Besoin électrique'!C8)</f>
        <v/>
      </c>
      <c r="G60" s="285" t="str">
        <f>IF('Besoin électrique'!D8=0,"",'Besoin électrique'!D8)</f>
        <v/>
      </c>
      <c r="H60" s="434" t="str">
        <f>IF('Besoin électrique'!E8=0,"",'Besoin électrique'!E8)</f>
        <v/>
      </c>
      <c r="I60" s="435"/>
      <c r="J60" s="434" t="str">
        <f>IF('Besoin électrique'!G8=0,"",'Besoin électrique'!G8)</f>
        <v/>
      </c>
      <c r="K60" s="435"/>
      <c r="L60" s="434" t="str">
        <f>IF('Besoin électrique'!H8=0,"",'Besoin électrique'!H8)</f>
        <v/>
      </c>
      <c r="M60" s="435"/>
      <c r="N60" s="83"/>
      <c r="O60" s="83"/>
      <c r="P60" s="83"/>
      <c r="Q60" s="83"/>
    </row>
    <row r="61" spans="1:17">
      <c r="A61" s="83"/>
      <c r="B61" s="83"/>
      <c r="C61" s="423" t="str">
        <f>IF('Besoin électrique'!A9=0,"",'Besoin électrique'!A9)</f>
        <v/>
      </c>
      <c r="D61" s="423"/>
      <c r="E61" s="285" t="str">
        <f>IF('Besoin électrique'!B9=0,"",'Besoin électrique'!B9)</f>
        <v/>
      </c>
      <c r="F61" s="285" t="str">
        <f>IF('Besoin électrique'!C9=0,"",'Besoin électrique'!C9)</f>
        <v/>
      </c>
      <c r="G61" s="285" t="str">
        <f>IF('Besoin électrique'!D9=0,"",'Besoin électrique'!D9)</f>
        <v/>
      </c>
      <c r="H61" s="434" t="str">
        <f>IF('Besoin électrique'!E9=0,"",'Besoin électrique'!E9)</f>
        <v/>
      </c>
      <c r="I61" s="435"/>
      <c r="J61" s="434" t="str">
        <f>IF('Besoin électrique'!G9=0,"",'Besoin électrique'!G9)</f>
        <v/>
      </c>
      <c r="K61" s="435"/>
      <c r="L61" s="434" t="str">
        <f>IF('Besoin électrique'!H9=0,"",'Besoin électrique'!H9)</f>
        <v/>
      </c>
      <c r="M61" s="435"/>
      <c r="N61" s="83"/>
      <c r="O61" s="83"/>
      <c r="P61" s="83"/>
      <c r="Q61" s="83"/>
    </row>
    <row r="62" spans="1:17">
      <c r="A62" s="83"/>
      <c r="B62" s="83"/>
      <c r="C62" s="423" t="str">
        <f>IF('Besoin électrique'!A10=0,"",'Besoin électrique'!A10)</f>
        <v/>
      </c>
      <c r="D62" s="423"/>
      <c r="E62" s="285" t="str">
        <f>IF('Besoin électrique'!B10=0,"",'Besoin électrique'!B10)</f>
        <v/>
      </c>
      <c r="F62" s="285" t="str">
        <f>IF('Besoin électrique'!C10=0,"",'Besoin électrique'!C10)</f>
        <v/>
      </c>
      <c r="G62" s="285" t="str">
        <f>IF('Besoin électrique'!D10=0,"",'Besoin électrique'!D10)</f>
        <v/>
      </c>
      <c r="H62" s="434" t="str">
        <f>IF('Besoin électrique'!E10=0,"",'Besoin électrique'!E10)</f>
        <v/>
      </c>
      <c r="I62" s="435"/>
      <c r="J62" s="434" t="str">
        <f>IF('Besoin électrique'!G10=0,"",'Besoin électrique'!G10)</f>
        <v/>
      </c>
      <c r="K62" s="435"/>
      <c r="L62" s="434" t="str">
        <f>IF('Besoin électrique'!H10=0,"",'Besoin électrique'!H10)</f>
        <v/>
      </c>
      <c r="M62" s="435"/>
      <c r="N62" s="83"/>
      <c r="O62" s="83"/>
      <c r="P62" s="83"/>
      <c r="Q62" s="83"/>
    </row>
    <row r="63" spans="1:17">
      <c r="A63" s="83"/>
      <c r="B63" s="83"/>
      <c r="C63" s="423" t="str">
        <f>IF('Besoin électrique'!A11=0,"",'Besoin électrique'!A11)</f>
        <v/>
      </c>
      <c r="D63" s="423"/>
      <c r="E63" s="285" t="str">
        <f>IF('Besoin électrique'!B11=0,"",'Besoin électrique'!B11)</f>
        <v/>
      </c>
      <c r="F63" s="285" t="str">
        <f>IF('Besoin électrique'!C11=0,"",'Besoin électrique'!C11)</f>
        <v/>
      </c>
      <c r="G63" s="285" t="str">
        <f>IF('Besoin électrique'!D11=0,"",'Besoin électrique'!D11)</f>
        <v/>
      </c>
      <c r="H63" s="434" t="str">
        <f>IF('Besoin électrique'!E11=0,"",'Besoin électrique'!E11)</f>
        <v/>
      </c>
      <c r="I63" s="435"/>
      <c r="J63" s="434" t="str">
        <f>IF('Besoin électrique'!G11=0,"",'Besoin électrique'!G11)</f>
        <v/>
      </c>
      <c r="K63" s="435"/>
      <c r="L63" s="434" t="str">
        <f>IF('Besoin électrique'!H11=0,"",'Besoin électrique'!H11)</f>
        <v/>
      </c>
      <c r="M63" s="435"/>
      <c r="N63" s="83"/>
      <c r="O63" s="83"/>
      <c r="P63" s="83"/>
      <c r="Q63" s="83"/>
    </row>
    <row r="64" spans="1:17">
      <c r="A64" s="83"/>
      <c r="B64" s="83"/>
      <c r="C64" s="423" t="str">
        <f>IF('Besoin électrique'!A12=0,"",'Besoin électrique'!A12)</f>
        <v/>
      </c>
      <c r="D64" s="423"/>
      <c r="E64" s="285" t="str">
        <f>IF('Besoin électrique'!B12=0,"",'Besoin électrique'!B12)</f>
        <v/>
      </c>
      <c r="F64" s="285" t="str">
        <f>IF('Besoin électrique'!C12=0,"",'Besoin électrique'!C12)</f>
        <v/>
      </c>
      <c r="G64" s="285" t="str">
        <f>IF('Besoin électrique'!D12=0,"",'Besoin électrique'!D12)</f>
        <v/>
      </c>
      <c r="H64" s="434" t="str">
        <f>IF('Besoin électrique'!E12=0,"",'Besoin électrique'!E12)</f>
        <v/>
      </c>
      <c r="I64" s="435"/>
      <c r="J64" s="434" t="str">
        <f>IF('Besoin électrique'!G12=0,"",'Besoin électrique'!G12)</f>
        <v/>
      </c>
      <c r="K64" s="435"/>
      <c r="L64" s="434" t="str">
        <f>IF('Besoin électrique'!H12=0,"",'Besoin électrique'!H12)</f>
        <v/>
      </c>
      <c r="M64" s="435"/>
      <c r="N64" s="83"/>
      <c r="O64" s="83"/>
      <c r="P64" s="83"/>
      <c r="Q64" s="83"/>
    </row>
    <row r="65" spans="1:17">
      <c r="A65" s="83"/>
      <c r="B65" s="83"/>
      <c r="C65" s="423" t="str">
        <f>IF('Besoin électrique'!A13=0,"",'Besoin électrique'!A13)</f>
        <v/>
      </c>
      <c r="D65" s="423"/>
      <c r="E65" s="285" t="str">
        <f>IF('Besoin électrique'!B13=0,"",'Besoin électrique'!B13)</f>
        <v/>
      </c>
      <c r="F65" s="285" t="str">
        <f>IF('Besoin électrique'!C13=0,"",'Besoin électrique'!C13)</f>
        <v/>
      </c>
      <c r="G65" s="285" t="str">
        <f>IF('Besoin électrique'!D13=0,"",'Besoin électrique'!D13)</f>
        <v/>
      </c>
      <c r="H65" s="434" t="str">
        <f>IF('Besoin électrique'!E13=0,"",'Besoin électrique'!E13)</f>
        <v/>
      </c>
      <c r="I65" s="435"/>
      <c r="J65" s="434" t="str">
        <f>IF('Besoin électrique'!G13=0,"",'Besoin électrique'!G13)</f>
        <v/>
      </c>
      <c r="K65" s="435"/>
      <c r="L65" s="434" t="str">
        <f>IF('Besoin électrique'!H13=0,"",'Besoin électrique'!H13)</f>
        <v/>
      </c>
      <c r="M65" s="435"/>
      <c r="N65" s="83"/>
      <c r="O65" s="83"/>
      <c r="P65" s="83"/>
      <c r="Q65" s="83"/>
    </row>
    <row r="66" spans="1:17">
      <c r="A66" s="83"/>
      <c r="B66" s="83"/>
      <c r="C66" s="423" t="str">
        <f>IF('Besoin électrique'!A14=0,"",'Besoin électrique'!A14)</f>
        <v/>
      </c>
      <c r="D66" s="423"/>
      <c r="E66" s="285" t="str">
        <f>IF('Besoin électrique'!B14=0,"",'Besoin électrique'!B14)</f>
        <v/>
      </c>
      <c r="F66" s="285" t="str">
        <f>IF('Besoin électrique'!C14=0,"",'Besoin électrique'!C14)</f>
        <v/>
      </c>
      <c r="G66" s="285" t="str">
        <f>IF('Besoin électrique'!D14=0,"",'Besoin électrique'!D14)</f>
        <v/>
      </c>
      <c r="H66" s="434" t="str">
        <f>IF('Besoin électrique'!E14=0,"",'Besoin électrique'!E14)</f>
        <v/>
      </c>
      <c r="I66" s="435"/>
      <c r="J66" s="434" t="str">
        <f>IF('Besoin électrique'!G14=0,"",'Besoin électrique'!G14)</f>
        <v/>
      </c>
      <c r="K66" s="435"/>
      <c r="L66" s="434" t="str">
        <f>IF('Besoin électrique'!H14=0,"",'Besoin électrique'!H14)</f>
        <v/>
      </c>
      <c r="M66" s="435"/>
      <c r="N66" s="83"/>
      <c r="O66" s="83"/>
      <c r="P66" s="83"/>
      <c r="Q66" s="83"/>
    </row>
    <row r="67" spans="1:17">
      <c r="A67" s="83"/>
      <c r="B67" s="83"/>
      <c r="C67" s="423" t="str">
        <f>IF('Besoin électrique'!A15=0,"",'Besoin électrique'!A15)</f>
        <v/>
      </c>
      <c r="D67" s="423"/>
      <c r="E67" s="285" t="str">
        <f>IF('Besoin électrique'!B15=0,"",'Besoin électrique'!B15)</f>
        <v/>
      </c>
      <c r="F67" s="285" t="str">
        <f>IF('Besoin électrique'!C15=0,"",'Besoin électrique'!C15)</f>
        <v/>
      </c>
      <c r="G67" s="285" t="str">
        <f>IF('Besoin électrique'!D15=0,"",'Besoin électrique'!D15)</f>
        <v/>
      </c>
      <c r="H67" s="434" t="str">
        <f>IF('Besoin électrique'!E15=0,"",'Besoin électrique'!E15)</f>
        <v/>
      </c>
      <c r="I67" s="435"/>
      <c r="J67" s="434" t="str">
        <f>IF('Besoin électrique'!G15=0,"",'Besoin électrique'!G15)</f>
        <v/>
      </c>
      <c r="K67" s="435"/>
      <c r="L67" s="434" t="str">
        <f>IF('Besoin électrique'!H15=0,"",'Besoin électrique'!H15)</f>
        <v/>
      </c>
      <c r="M67" s="435"/>
      <c r="N67" s="83"/>
      <c r="O67" s="83"/>
      <c r="P67" s="83"/>
      <c r="Q67" s="83"/>
    </row>
    <row r="68" spans="1:17">
      <c r="A68" s="83"/>
      <c r="B68" s="83"/>
      <c r="C68" s="423" t="str">
        <f>IF('Besoin électrique'!A16=0,"",'Besoin électrique'!A16)</f>
        <v/>
      </c>
      <c r="D68" s="423"/>
      <c r="E68" s="285" t="str">
        <f>IF('Besoin électrique'!B16=0,"",'Besoin électrique'!B16)</f>
        <v/>
      </c>
      <c r="F68" s="285" t="str">
        <f>IF('Besoin électrique'!C16=0,"",'Besoin électrique'!C16)</f>
        <v/>
      </c>
      <c r="G68" s="285" t="str">
        <f>IF('Besoin électrique'!D16=0,"",'Besoin électrique'!D16)</f>
        <v/>
      </c>
      <c r="H68" s="434" t="str">
        <f>IF('Besoin électrique'!E16=0,"",'Besoin électrique'!E16)</f>
        <v/>
      </c>
      <c r="I68" s="435"/>
      <c r="J68" s="434" t="str">
        <f>IF('Besoin électrique'!G16=0,"",'Besoin électrique'!G16)</f>
        <v/>
      </c>
      <c r="K68" s="435"/>
      <c r="L68" s="434" t="str">
        <f>IF('Besoin électrique'!H16=0,"",'Besoin électrique'!H16)</f>
        <v/>
      </c>
      <c r="M68" s="435"/>
      <c r="N68" s="83"/>
      <c r="O68" s="83"/>
      <c r="P68" s="83"/>
      <c r="Q68" s="83"/>
    </row>
    <row r="69" spans="1:17">
      <c r="A69" s="83"/>
      <c r="B69" s="83"/>
      <c r="C69" s="423" t="str">
        <f>IF('Besoin électrique'!A17=0,"",'Besoin électrique'!A17)</f>
        <v/>
      </c>
      <c r="D69" s="423"/>
      <c r="E69" s="285" t="str">
        <f>IF('Besoin électrique'!B17=0,"",'Besoin électrique'!B17)</f>
        <v/>
      </c>
      <c r="F69" s="285" t="str">
        <f>IF('Besoin électrique'!C17=0,"",'Besoin électrique'!C17)</f>
        <v/>
      </c>
      <c r="G69" s="285" t="str">
        <f>IF('Besoin électrique'!D17=0,"",'Besoin électrique'!D17)</f>
        <v/>
      </c>
      <c r="H69" s="434" t="str">
        <f>IF('Besoin électrique'!E17=0,"",'Besoin électrique'!E17)</f>
        <v/>
      </c>
      <c r="I69" s="435"/>
      <c r="J69" s="434" t="str">
        <f>IF('Besoin électrique'!G17=0,"",'Besoin électrique'!G17)</f>
        <v/>
      </c>
      <c r="K69" s="435"/>
      <c r="L69" s="434" t="str">
        <f>IF('Besoin électrique'!H17=0,"",'Besoin électrique'!H17)</f>
        <v/>
      </c>
      <c r="M69" s="435"/>
      <c r="N69" s="83"/>
      <c r="O69" s="83"/>
      <c r="P69" s="83"/>
      <c r="Q69" s="83"/>
    </row>
    <row r="70" spans="1:17">
      <c r="A70" s="83"/>
      <c r="B70" s="83"/>
      <c r="C70" s="431" t="s">
        <v>352</v>
      </c>
      <c r="D70" s="432"/>
      <c r="E70" s="432"/>
      <c r="F70" s="432"/>
      <c r="G70" s="432"/>
      <c r="H70" s="432"/>
      <c r="I70" s="433"/>
      <c r="J70" s="434">
        <f>IF('Besoin électrique'!G18=0,"",'Besoin électrique'!G18)</f>
        <v>11.915999999999999</v>
      </c>
      <c r="K70" s="435"/>
      <c r="L70" s="434">
        <f>IF('Besoin électrique'!H18=0,"",'Besoin électrique'!H18)</f>
        <v>33.679999999999993</v>
      </c>
      <c r="M70" s="435"/>
      <c r="N70" s="83"/>
      <c r="O70" s="83"/>
      <c r="P70" s="83"/>
      <c r="Q70" s="83"/>
    </row>
    <row r="71" spans="1:17">
      <c r="A71" s="83"/>
      <c r="B71" s="83"/>
      <c r="C71" s="431" t="s">
        <v>354</v>
      </c>
      <c r="D71" s="432"/>
      <c r="E71" s="432"/>
      <c r="F71" s="432"/>
      <c r="G71" s="432"/>
      <c r="H71" s="432"/>
      <c r="I71" s="432"/>
      <c r="J71" s="432"/>
      <c r="K71" s="432"/>
      <c r="L71" s="432"/>
      <c r="M71" s="433"/>
      <c r="N71" s="83"/>
      <c r="O71" s="83"/>
      <c r="P71" s="83"/>
      <c r="Q71" s="83"/>
    </row>
    <row r="72" spans="1:17">
      <c r="A72" s="83"/>
      <c r="B72" s="83"/>
      <c r="C72" s="423" t="str">
        <f>IF('Besoin électrique'!A20=0,"",'Besoin électrique'!A20)</f>
        <v/>
      </c>
      <c r="D72" s="423"/>
      <c r="E72" s="286" t="str">
        <f>IF('Besoin électrique'!B20=0,"",'Besoin électrique'!B20)</f>
        <v/>
      </c>
      <c r="F72" s="286" t="str">
        <f>IF('Besoin électrique'!C20=0,"",'Besoin électrique'!C20)</f>
        <v/>
      </c>
      <c r="G72" s="286" t="str">
        <f>IF('Besoin électrique'!D20=0,"",'Besoin électrique'!D20)</f>
        <v/>
      </c>
      <c r="H72" s="438" t="str">
        <f>IF('Besoin électrique'!E20=0,"",'Besoin électrique'!E20)</f>
        <v/>
      </c>
      <c r="I72" s="439"/>
      <c r="J72" s="438" t="str">
        <f>IF('Besoin électrique'!G20=0,"",'Besoin électrique'!G20)</f>
        <v/>
      </c>
      <c r="K72" s="439"/>
      <c r="L72" s="438" t="str">
        <f>IF('Besoin électrique'!H20=0,"",'Besoin électrique'!H20)</f>
        <v/>
      </c>
      <c r="M72" s="439"/>
      <c r="N72" s="83"/>
      <c r="O72" s="83"/>
      <c r="P72" s="83"/>
      <c r="Q72" s="83"/>
    </row>
    <row r="73" spans="1:17">
      <c r="A73" s="83"/>
      <c r="B73" s="83"/>
      <c r="C73" s="423" t="str">
        <f>IF('Besoin électrique'!A21=0,"",'Besoin électrique'!A21)</f>
        <v/>
      </c>
      <c r="D73" s="423"/>
      <c r="E73" s="286" t="str">
        <f>IF('Besoin électrique'!B21=0,"",'Besoin électrique'!B21)</f>
        <v/>
      </c>
      <c r="F73" s="286" t="str">
        <f>IF('Besoin électrique'!C21=0,"",'Besoin électrique'!C21)</f>
        <v/>
      </c>
      <c r="G73" s="286" t="str">
        <f>IF('Besoin électrique'!D21=0,"",'Besoin électrique'!D21)</f>
        <v/>
      </c>
      <c r="H73" s="438" t="str">
        <f>IF('Besoin électrique'!E21=0,"",'Besoin électrique'!E21)</f>
        <v/>
      </c>
      <c r="I73" s="439"/>
      <c r="J73" s="438" t="str">
        <f>IF('Besoin électrique'!G21=0,"",'Besoin électrique'!G21)</f>
        <v/>
      </c>
      <c r="K73" s="439"/>
      <c r="L73" s="438" t="str">
        <f>IF('Besoin électrique'!H21=0,"",'Besoin électrique'!H21)</f>
        <v/>
      </c>
      <c r="M73" s="439"/>
      <c r="N73" s="83"/>
      <c r="O73" s="83"/>
      <c r="P73" s="83"/>
      <c r="Q73" s="83"/>
    </row>
    <row r="74" spans="1:17">
      <c r="A74" s="83"/>
      <c r="B74" s="83"/>
      <c r="C74" s="423" t="str">
        <f>IF('Besoin électrique'!A22=0,"",'Besoin électrique'!A22)</f>
        <v/>
      </c>
      <c r="D74" s="423"/>
      <c r="E74" s="286" t="str">
        <f>IF('Besoin électrique'!B22=0,"",'Besoin électrique'!B22)</f>
        <v/>
      </c>
      <c r="F74" s="286" t="str">
        <f>IF('Besoin électrique'!C22=0,"",'Besoin électrique'!C22)</f>
        <v/>
      </c>
      <c r="G74" s="286" t="str">
        <f>IF('Besoin électrique'!D22=0,"",'Besoin électrique'!D22)</f>
        <v/>
      </c>
      <c r="H74" s="438" t="str">
        <f>IF('Besoin électrique'!E22=0,"",'Besoin électrique'!E22)</f>
        <v/>
      </c>
      <c r="I74" s="439"/>
      <c r="J74" s="438" t="str">
        <f>IF('Besoin électrique'!G22=0,"",'Besoin électrique'!G22)</f>
        <v/>
      </c>
      <c r="K74" s="439"/>
      <c r="L74" s="438" t="str">
        <f>IF('Besoin électrique'!H22=0,"",'Besoin électrique'!H22)</f>
        <v/>
      </c>
      <c r="M74" s="439"/>
      <c r="N74" s="83"/>
      <c r="O74" s="83"/>
      <c r="P74" s="83"/>
      <c r="Q74" s="83"/>
    </row>
    <row r="75" spans="1:17">
      <c r="A75" s="83"/>
      <c r="B75" s="83"/>
      <c r="C75" s="423" t="str">
        <f>IF('Besoin électrique'!A23=0,"",'Besoin électrique'!A23)</f>
        <v/>
      </c>
      <c r="D75" s="423"/>
      <c r="E75" s="286" t="str">
        <f>IF('Besoin électrique'!B23=0,"",'Besoin électrique'!B23)</f>
        <v/>
      </c>
      <c r="F75" s="286" t="str">
        <f>IF('Besoin électrique'!C23=0,"",'Besoin électrique'!C23)</f>
        <v/>
      </c>
      <c r="G75" s="286" t="str">
        <f>IF('Besoin électrique'!D23=0,"",'Besoin électrique'!D23)</f>
        <v/>
      </c>
      <c r="H75" s="438" t="str">
        <f>IF('Besoin électrique'!E23=0,"",'Besoin électrique'!E23)</f>
        <v/>
      </c>
      <c r="I75" s="439"/>
      <c r="J75" s="438" t="str">
        <f>IF('Besoin électrique'!G23=0,"",'Besoin électrique'!G23)</f>
        <v/>
      </c>
      <c r="K75" s="439"/>
      <c r="L75" s="438" t="str">
        <f>IF('Besoin électrique'!H23=0,"",'Besoin électrique'!H23)</f>
        <v/>
      </c>
      <c r="M75" s="439"/>
      <c r="N75" s="83"/>
      <c r="O75" s="83"/>
      <c r="P75" s="83"/>
      <c r="Q75" s="83"/>
    </row>
    <row r="76" spans="1:17">
      <c r="A76" s="83"/>
      <c r="B76" s="83"/>
      <c r="C76" s="423" t="str">
        <f>IF('Besoin électrique'!A24=0,"",'Besoin électrique'!A24)</f>
        <v/>
      </c>
      <c r="D76" s="423"/>
      <c r="E76" s="286" t="str">
        <f>IF('Besoin électrique'!B24=0,"",'Besoin électrique'!B24)</f>
        <v/>
      </c>
      <c r="F76" s="286" t="str">
        <f>IF('Besoin électrique'!C24=0,"",'Besoin électrique'!C24)</f>
        <v/>
      </c>
      <c r="G76" s="286" t="str">
        <f>IF('Besoin électrique'!D24=0,"",'Besoin électrique'!D24)</f>
        <v/>
      </c>
      <c r="H76" s="438" t="str">
        <f>IF('Besoin électrique'!E24=0,"",'Besoin électrique'!E24)</f>
        <v/>
      </c>
      <c r="I76" s="439"/>
      <c r="J76" s="438" t="str">
        <f>IF('Besoin électrique'!G24=0,"",'Besoin électrique'!G24)</f>
        <v/>
      </c>
      <c r="K76" s="439"/>
      <c r="L76" s="438" t="str">
        <f>IF('Besoin électrique'!H24=0,"",'Besoin électrique'!H24)</f>
        <v/>
      </c>
      <c r="M76" s="439"/>
      <c r="N76" s="83"/>
      <c r="O76" s="83"/>
      <c r="P76" s="83"/>
      <c r="Q76" s="83"/>
    </row>
    <row r="77" spans="1:17">
      <c r="A77" s="83"/>
      <c r="B77" s="83"/>
      <c r="C77" s="423" t="str">
        <f>IF('Besoin électrique'!A25=0,"",'Besoin électrique'!A25)</f>
        <v/>
      </c>
      <c r="D77" s="423"/>
      <c r="E77" s="286" t="str">
        <f>IF('Besoin électrique'!B25=0,"",'Besoin électrique'!B25)</f>
        <v/>
      </c>
      <c r="F77" s="286" t="str">
        <f>IF('Besoin électrique'!C25=0,"",'Besoin électrique'!C25)</f>
        <v/>
      </c>
      <c r="G77" s="286" t="str">
        <f>IF('Besoin électrique'!D25=0,"",'Besoin électrique'!D25)</f>
        <v/>
      </c>
      <c r="H77" s="438" t="str">
        <f>IF('Besoin électrique'!E25=0,"",'Besoin électrique'!E25)</f>
        <v/>
      </c>
      <c r="I77" s="439"/>
      <c r="J77" s="438" t="str">
        <f>IF('Besoin électrique'!G25=0,"",'Besoin électrique'!G25)</f>
        <v/>
      </c>
      <c r="K77" s="439"/>
      <c r="L77" s="438" t="str">
        <f>IF('Besoin électrique'!H25=0,"",'Besoin électrique'!H25)</f>
        <v/>
      </c>
      <c r="M77" s="439"/>
      <c r="N77" s="83"/>
      <c r="O77" s="83"/>
      <c r="P77" s="83"/>
      <c r="Q77" s="83"/>
    </row>
    <row r="78" spans="1:17">
      <c r="A78" s="83"/>
      <c r="B78" s="83"/>
      <c r="C78" s="423" t="str">
        <f>IF('Besoin électrique'!A26=0,"",'Besoin électrique'!A26)</f>
        <v/>
      </c>
      <c r="D78" s="423"/>
      <c r="E78" s="286" t="str">
        <f>IF('Besoin électrique'!B26=0,"",'Besoin électrique'!B26)</f>
        <v/>
      </c>
      <c r="F78" s="286" t="str">
        <f>IF('Besoin électrique'!C26=0,"",'Besoin électrique'!C26)</f>
        <v/>
      </c>
      <c r="G78" s="286" t="str">
        <f>IF('Besoin électrique'!D26=0,"",'Besoin électrique'!D26)</f>
        <v/>
      </c>
      <c r="H78" s="438" t="str">
        <f>IF('Besoin électrique'!E26=0,"",'Besoin électrique'!E26)</f>
        <v/>
      </c>
      <c r="I78" s="439"/>
      <c r="J78" s="438" t="str">
        <f>IF('Besoin électrique'!G26=0,"",'Besoin électrique'!G26)</f>
        <v/>
      </c>
      <c r="K78" s="439"/>
      <c r="L78" s="438" t="str">
        <f>IF('Besoin électrique'!H26=0,"",'Besoin électrique'!H26)</f>
        <v/>
      </c>
      <c r="M78" s="439"/>
      <c r="N78" s="83"/>
      <c r="O78" s="83"/>
      <c r="P78" s="83"/>
      <c r="Q78" s="83"/>
    </row>
    <row r="79" spans="1:17">
      <c r="A79" s="83"/>
      <c r="B79" s="83"/>
      <c r="C79" s="423" t="str">
        <f>IF('Besoin électrique'!A27=0,"",'Besoin électrique'!A27)</f>
        <v/>
      </c>
      <c r="D79" s="423"/>
      <c r="E79" s="286" t="str">
        <f>IF('Besoin électrique'!B27=0,"",'Besoin électrique'!B27)</f>
        <v/>
      </c>
      <c r="F79" s="286" t="str">
        <f>IF('Besoin électrique'!C27=0,"",'Besoin électrique'!C27)</f>
        <v/>
      </c>
      <c r="G79" s="286" t="str">
        <f>IF('Besoin électrique'!D27=0,"",'Besoin électrique'!D27)</f>
        <v/>
      </c>
      <c r="H79" s="438" t="str">
        <f>IF('Besoin électrique'!E27=0,"",'Besoin électrique'!E27)</f>
        <v/>
      </c>
      <c r="I79" s="439"/>
      <c r="J79" s="438" t="str">
        <f>IF('Besoin électrique'!G27=0,"",'Besoin électrique'!G27)</f>
        <v/>
      </c>
      <c r="K79" s="439"/>
      <c r="L79" s="438" t="str">
        <f>IF('Besoin électrique'!H27=0,"",'Besoin électrique'!H27)</f>
        <v/>
      </c>
      <c r="M79" s="439"/>
      <c r="N79" s="83"/>
      <c r="O79" s="83"/>
      <c r="P79" s="83"/>
      <c r="Q79" s="83"/>
    </row>
    <row r="80" spans="1:17">
      <c r="A80" s="83"/>
      <c r="B80" s="83"/>
      <c r="C80" s="423" t="str">
        <f>IF('Besoin électrique'!A28=0,"",'Besoin électrique'!A28)</f>
        <v/>
      </c>
      <c r="D80" s="423"/>
      <c r="E80" s="286" t="str">
        <f>IF('Besoin électrique'!B28=0,"",'Besoin électrique'!B28)</f>
        <v/>
      </c>
      <c r="F80" s="286" t="str">
        <f>IF('Besoin électrique'!C28=0,"",'Besoin électrique'!C28)</f>
        <v/>
      </c>
      <c r="G80" s="286" t="str">
        <f>IF('Besoin électrique'!D28=0,"",'Besoin électrique'!D28)</f>
        <v/>
      </c>
      <c r="H80" s="438" t="str">
        <f>IF('Besoin électrique'!E28=0,"",'Besoin électrique'!E28)</f>
        <v/>
      </c>
      <c r="I80" s="439"/>
      <c r="J80" s="438" t="str">
        <f>IF('Besoin électrique'!G28=0,"",'Besoin électrique'!G28)</f>
        <v/>
      </c>
      <c r="K80" s="439"/>
      <c r="L80" s="438" t="str">
        <f>IF('Besoin électrique'!H28=0,"",'Besoin électrique'!H28)</f>
        <v/>
      </c>
      <c r="M80" s="439"/>
      <c r="N80" s="83"/>
      <c r="O80" s="83"/>
      <c r="P80" s="83"/>
      <c r="Q80" s="83"/>
    </row>
    <row r="81" spans="1:17">
      <c r="A81" s="83"/>
      <c r="B81" s="83"/>
      <c r="C81" s="423" t="str">
        <f>IF('Besoin électrique'!A29=0,"",'Besoin électrique'!A29)</f>
        <v/>
      </c>
      <c r="D81" s="423"/>
      <c r="E81" s="286" t="str">
        <f>IF('Besoin électrique'!B29=0,"",'Besoin électrique'!B29)</f>
        <v/>
      </c>
      <c r="F81" s="286" t="str">
        <f>IF('Besoin électrique'!C29=0,"",'Besoin électrique'!C29)</f>
        <v/>
      </c>
      <c r="G81" s="286" t="str">
        <f>IF('Besoin électrique'!D29=0,"",'Besoin électrique'!D29)</f>
        <v/>
      </c>
      <c r="H81" s="438" t="str">
        <f>IF('Besoin électrique'!E29=0,"",'Besoin électrique'!E29)</f>
        <v/>
      </c>
      <c r="I81" s="439"/>
      <c r="J81" s="438" t="str">
        <f>IF('Besoin électrique'!G29=0,"",'Besoin électrique'!G29)</f>
        <v/>
      </c>
      <c r="K81" s="439"/>
      <c r="L81" s="438" t="str">
        <f>IF('Besoin électrique'!H29=0,"",'Besoin électrique'!H29)</f>
        <v/>
      </c>
      <c r="M81" s="439"/>
      <c r="N81" s="83"/>
      <c r="O81" s="83"/>
      <c r="P81" s="83"/>
      <c r="Q81" s="83"/>
    </row>
    <row r="82" spans="1:17">
      <c r="A82" s="83"/>
      <c r="B82" s="83"/>
      <c r="C82" s="423" t="str">
        <f>IF('Besoin électrique'!A30=0,"",'Besoin électrique'!A30)</f>
        <v/>
      </c>
      <c r="D82" s="423"/>
      <c r="E82" s="286" t="str">
        <f>IF('Besoin électrique'!B30=0,"",'Besoin électrique'!B30)</f>
        <v/>
      </c>
      <c r="F82" s="286" t="str">
        <f>IF('Besoin électrique'!C30=0,"",'Besoin électrique'!C30)</f>
        <v/>
      </c>
      <c r="G82" s="286" t="str">
        <f>IF('Besoin électrique'!D30=0,"",'Besoin électrique'!D30)</f>
        <v/>
      </c>
      <c r="H82" s="438" t="str">
        <f>IF('Besoin électrique'!E30=0,"",'Besoin électrique'!E30)</f>
        <v/>
      </c>
      <c r="I82" s="439"/>
      <c r="J82" s="438" t="str">
        <f>IF('Besoin électrique'!G30=0,"",'Besoin électrique'!G30)</f>
        <v/>
      </c>
      <c r="K82" s="439"/>
      <c r="L82" s="438" t="str">
        <f>IF('Besoin électrique'!H30=0,"",'Besoin électrique'!H30)</f>
        <v/>
      </c>
      <c r="M82" s="439"/>
      <c r="N82" s="83"/>
      <c r="O82" s="83"/>
      <c r="P82" s="83"/>
      <c r="Q82" s="83"/>
    </row>
    <row r="83" spans="1:17">
      <c r="A83" s="83"/>
      <c r="B83" s="83"/>
      <c r="C83" s="423" t="str">
        <f>IF('Besoin électrique'!A31=0,"",'Besoin électrique'!A31)</f>
        <v/>
      </c>
      <c r="D83" s="423"/>
      <c r="E83" s="286" t="str">
        <f>IF('Besoin électrique'!B31=0,"",'Besoin électrique'!B31)</f>
        <v/>
      </c>
      <c r="F83" s="286" t="str">
        <f>IF('Besoin électrique'!C31=0,"",'Besoin électrique'!C31)</f>
        <v/>
      </c>
      <c r="G83" s="286" t="str">
        <f>IF('Besoin électrique'!D31=0,"",'Besoin électrique'!D31)</f>
        <v/>
      </c>
      <c r="H83" s="438" t="str">
        <f>IF('Besoin électrique'!E31=0,"",'Besoin électrique'!E31)</f>
        <v/>
      </c>
      <c r="I83" s="439"/>
      <c r="J83" s="438" t="str">
        <f>IF('Besoin électrique'!G31=0,"",'Besoin électrique'!G31)</f>
        <v/>
      </c>
      <c r="K83" s="439"/>
      <c r="L83" s="438" t="str">
        <f>IF('Besoin électrique'!H31=0,"",'Besoin électrique'!H31)</f>
        <v/>
      </c>
      <c r="M83" s="439"/>
      <c r="N83" s="83"/>
      <c r="O83" s="83"/>
      <c r="P83" s="83"/>
      <c r="Q83" s="83"/>
    </row>
    <row r="84" spans="1:17">
      <c r="A84" s="83"/>
      <c r="B84" s="83"/>
      <c r="C84" s="423" t="str">
        <f>IF('Besoin électrique'!A32=0,"",'Besoin électrique'!A32)</f>
        <v/>
      </c>
      <c r="D84" s="423"/>
      <c r="E84" s="286" t="str">
        <f>IF('Besoin électrique'!B32=0,"",'Besoin électrique'!B32)</f>
        <v/>
      </c>
      <c r="F84" s="286" t="str">
        <f>IF('Besoin électrique'!C32=0,"",'Besoin électrique'!C32)</f>
        <v/>
      </c>
      <c r="G84" s="286" t="str">
        <f>IF('Besoin électrique'!D32=0,"",'Besoin électrique'!D32)</f>
        <v/>
      </c>
      <c r="H84" s="438" t="str">
        <f>IF('Besoin électrique'!E32=0,"",'Besoin électrique'!E32)</f>
        <v/>
      </c>
      <c r="I84" s="439"/>
      <c r="J84" s="438" t="str">
        <f>IF('Besoin électrique'!G32=0,"",'Besoin électrique'!G32)</f>
        <v/>
      </c>
      <c r="K84" s="439"/>
      <c r="L84" s="438" t="str">
        <f>IF('Besoin électrique'!H32=0,"",'Besoin électrique'!H32)</f>
        <v/>
      </c>
      <c r="M84" s="439"/>
      <c r="N84" s="83"/>
      <c r="O84" s="83"/>
      <c r="P84" s="83"/>
      <c r="Q84" s="83"/>
    </row>
    <row r="85" spans="1:17">
      <c r="A85" s="83"/>
      <c r="B85" s="83"/>
      <c r="C85" s="423" t="str">
        <f>IF('Besoin électrique'!A33=0,"",'Besoin électrique'!A33)</f>
        <v/>
      </c>
      <c r="D85" s="423"/>
      <c r="E85" s="286" t="str">
        <f>IF('Besoin électrique'!B33=0,"",'Besoin électrique'!B33)</f>
        <v/>
      </c>
      <c r="F85" s="286" t="str">
        <f>IF('Besoin électrique'!C33=0,"",'Besoin électrique'!C33)</f>
        <v/>
      </c>
      <c r="G85" s="286" t="str">
        <f>IF('Besoin électrique'!D33=0,"",'Besoin électrique'!D33)</f>
        <v/>
      </c>
      <c r="H85" s="438" t="str">
        <f>IF('Besoin électrique'!E33=0,"",'Besoin électrique'!E33)</f>
        <v/>
      </c>
      <c r="I85" s="439"/>
      <c r="J85" s="438" t="str">
        <f>IF('Besoin électrique'!G33=0,"",'Besoin électrique'!G33)</f>
        <v/>
      </c>
      <c r="K85" s="439"/>
      <c r="L85" s="438" t="str">
        <f>IF('Besoin électrique'!H33=0,"",'Besoin électrique'!H33)</f>
        <v/>
      </c>
      <c r="M85" s="439"/>
      <c r="N85" s="83"/>
      <c r="O85" s="83"/>
      <c r="P85" s="83"/>
      <c r="Q85" s="83"/>
    </row>
    <row r="86" spans="1:17">
      <c r="A86" s="83"/>
      <c r="B86" s="83"/>
      <c r="C86" s="423" t="str">
        <f>IF('Besoin électrique'!A34=0,"",'Besoin électrique'!A34)</f>
        <v/>
      </c>
      <c r="D86" s="423"/>
      <c r="E86" s="286" t="str">
        <f>IF('Besoin électrique'!B34=0,"",'Besoin électrique'!B34)</f>
        <v/>
      </c>
      <c r="F86" s="286" t="str">
        <f>IF('Besoin électrique'!C34=0,"",'Besoin électrique'!C34)</f>
        <v/>
      </c>
      <c r="G86" s="286" t="str">
        <f>IF('Besoin électrique'!D34=0,"",'Besoin électrique'!D34)</f>
        <v/>
      </c>
      <c r="H86" s="438" t="str">
        <f>IF('Besoin électrique'!E34=0,"",'Besoin électrique'!E34)</f>
        <v/>
      </c>
      <c r="I86" s="439"/>
      <c r="J86" s="438" t="str">
        <f>IF('Besoin électrique'!G34=0,"",'Besoin électrique'!G34)</f>
        <v/>
      </c>
      <c r="K86" s="439"/>
      <c r="L86" s="438" t="str">
        <f>IF('Besoin électrique'!H34=0,"",'Besoin électrique'!H34)</f>
        <v/>
      </c>
      <c r="M86" s="439"/>
      <c r="N86" s="83"/>
      <c r="O86" s="83"/>
      <c r="P86" s="83"/>
      <c r="Q86" s="83"/>
    </row>
    <row r="87" spans="1:17">
      <c r="A87" s="83"/>
      <c r="B87" s="83"/>
      <c r="C87" s="411" t="s">
        <v>352</v>
      </c>
      <c r="D87" s="412"/>
      <c r="E87" s="412"/>
      <c r="F87" s="412"/>
      <c r="G87" s="412"/>
      <c r="H87" s="412"/>
      <c r="I87" s="413"/>
      <c r="J87" s="438" t="str">
        <f>IF('Besoin électrique'!G35=0,"",'Besoin électrique'!G35)</f>
        <v/>
      </c>
      <c r="K87" s="439"/>
      <c r="L87" s="438" t="str">
        <f>IF('Besoin électrique'!H35=0,"",'Besoin électrique'!H35)</f>
        <v/>
      </c>
      <c r="M87" s="439"/>
      <c r="N87" s="83"/>
      <c r="O87" s="83"/>
      <c r="P87" s="83"/>
      <c r="Q87" s="83"/>
    </row>
    <row r="88" spans="1:17">
      <c r="A88" s="83"/>
      <c r="B88" s="83"/>
      <c r="C88" s="437" t="s">
        <v>353</v>
      </c>
      <c r="D88" s="437"/>
      <c r="E88" s="437"/>
      <c r="F88" s="437"/>
      <c r="G88" s="437"/>
      <c r="H88" s="437"/>
      <c r="I88" s="437"/>
      <c r="J88" s="437"/>
      <c r="K88" s="437"/>
      <c r="L88" s="437"/>
      <c r="M88" s="437"/>
      <c r="N88" s="83"/>
      <c r="O88" s="83"/>
      <c r="P88" s="83"/>
      <c r="Q88" s="83"/>
    </row>
    <row r="89" spans="1:17">
      <c r="A89" s="83"/>
      <c r="B89" s="83"/>
      <c r="C89" s="436" t="str">
        <f>IF('Besoin électrique'!A37=0,"",'Besoin électrique'!A37)</f>
        <v/>
      </c>
      <c r="D89" s="436"/>
      <c r="E89" s="286" t="str">
        <f>IF('Besoin électrique'!B37=0,"",'Besoin électrique'!B37)</f>
        <v/>
      </c>
      <c r="F89" s="286" t="str">
        <f>IF('Besoin électrique'!C37=0,"",'Besoin électrique'!C37)</f>
        <v/>
      </c>
      <c r="G89" s="286" t="str">
        <f>IF('Besoin électrique'!D37=0,"",'Besoin électrique'!D37)</f>
        <v/>
      </c>
      <c r="H89" s="438" t="str">
        <f>IF('Besoin électrique'!E37=0,"",'Besoin électrique'!E37)</f>
        <v/>
      </c>
      <c r="I89" s="439"/>
      <c r="J89" s="438" t="str">
        <f>IF('Besoin électrique'!G37=0,"",'Besoin électrique'!G37)</f>
        <v/>
      </c>
      <c r="K89" s="439"/>
      <c r="L89" s="438" t="str">
        <f>IF('Besoin électrique'!H37=0,"",'Besoin électrique'!H37)</f>
        <v/>
      </c>
      <c r="M89" s="439"/>
      <c r="N89" s="83"/>
      <c r="O89" s="83"/>
      <c r="P89" s="83"/>
      <c r="Q89" s="83"/>
    </row>
    <row r="90" spans="1:17">
      <c r="A90" s="83"/>
      <c r="B90" s="83"/>
      <c r="C90" s="436" t="str">
        <f>IF('Besoin électrique'!A38=0,"",'Besoin électrique'!A38)</f>
        <v/>
      </c>
      <c r="D90" s="436"/>
      <c r="E90" s="286" t="str">
        <f>IF('Besoin électrique'!B38=0,"",'Besoin électrique'!B38)</f>
        <v/>
      </c>
      <c r="F90" s="286" t="str">
        <f>IF('Besoin électrique'!C38=0,"",'Besoin électrique'!C38)</f>
        <v/>
      </c>
      <c r="G90" s="286" t="str">
        <f>IF('Besoin électrique'!D38=0,"",'Besoin électrique'!D38)</f>
        <v/>
      </c>
      <c r="H90" s="438" t="str">
        <f>IF('Besoin électrique'!E38=0,"",'Besoin électrique'!E38)</f>
        <v/>
      </c>
      <c r="I90" s="439"/>
      <c r="J90" s="438" t="str">
        <f>IF('Besoin électrique'!G38=0,"",'Besoin électrique'!G38)</f>
        <v/>
      </c>
      <c r="K90" s="439"/>
      <c r="L90" s="438" t="str">
        <f>IF('Besoin électrique'!H38=0,"",'Besoin électrique'!H38)</f>
        <v/>
      </c>
      <c r="M90" s="439"/>
      <c r="N90" s="83"/>
      <c r="O90" s="83"/>
      <c r="P90" s="83"/>
      <c r="Q90" s="83"/>
    </row>
    <row r="91" spans="1:17">
      <c r="A91" s="83"/>
      <c r="B91" s="83"/>
      <c r="C91" s="436" t="str">
        <f>IF('Besoin électrique'!A39=0,"",'Besoin électrique'!A39)</f>
        <v/>
      </c>
      <c r="D91" s="436"/>
      <c r="E91" s="286" t="str">
        <f>IF('Besoin électrique'!B39=0,"",'Besoin électrique'!B39)</f>
        <v/>
      </c>
      <c r="F91" s="286" t="str">
        <f>IF('Besoin électrique'!C39=0,"",'Besoin électrique'!C39)</f>
        <v/>
      </c>
      <c r="G91" s="286" t="str">
        <f>IF('Besoin électrique'!D39=0,"",'Besoin électrique'!D39)</f>
        <v/>
      </c>
      <c r="H91" s="438" t="str">
        <f>IF('Besoin électrique'!E39=0,"",'Besoin électrique'!E39)</f>
        <v/>
      </c>
      <c r="I91" s="439"/>
      <c r="J91" s="438" t="str">
        <f>IF('Besoin électrique'!G39=0,"",'Besoin électrique'!G39)</f>
        <v/>
      </c>
      <c r="K91" s="439"/>
      <c r="L91" s="438" t="str">
        <f>IF('Besoin électrique'!H39=0,"",'Besoin électrique'!H39)</f>
        <v/>
      </c>
      <c r="M91" s="439"/>
      <c r="N91" s="83"/>
      <c r="O91" s="83"/>
      <c r="P91" s="83"/>
      <c r="Q91" s="83"/>
    </row>
    <row r="92" spans="1:17">
      <c r="A92" s="83"/>
      <c r="B92" s="83"/>
      <c r="C92" s="436" t="str">
        <f>IF('Besoin électrique'!A40=0,"",'Besoin électrique'!A40)</f>
        <v/>
      </c>
      <c r="D92" s="436"/>
      <c r="E92" s="286" t="str">
        <f>IF('Besoin électrique'!B40=0,"",'Besoin électrique'!B40)</f>
        <v/>
      </c>
      <c r="F92" s="286" t="str">
        <f>IF('Besoin électrique'!C40=0,"",'Besoin électrique'!C40)</f>
        <v/>
      </c>
      <c r="G92" s="286" t="str">
        <f>IF('Besoin électrique'!D40=0,"",'Besoin électrique'!D40)</f>
        <v/>
      </c>
      <c r="H92" s="438" t="str">
        <f>IF('Besoin électrique'!E40=0,"",'Besoin électrique'!E40)</f>
        <v/>
      </c>
      <c r="I92" s="439"/>
      <c r="J92" s="438" t="str">
        <f>IF('Besoin électrique'!G40=0,"",'Besoin électrique'!G40)</f>
        <v/>
      </c>
      <c r="K92" s="439"/>
      <c r="L92" s="438" t="str">
        <f>IF('Besoin électrique'!H40=0,"",'Besoin électrique'!H40)</f>
        <v/>
      </c>
      <c r="M92" s="439"/>
      <c r="N92" s="83"/>
      <c r="O92" s="83"/>
      <c r="P92" s="83"/>
      <c r="Q92" s="83"/>
    </row>
    <row r="93" spans="1:17">
      <c r="A93" s="83"/>
      <c r="B93" s="83"/>
      <c r="C93" s="436" t="str">
        <f>IF('Besoin électrique'!A41=0,"",'Besoin électrique'!A41)</f>
        <v/>
      </c>
      <c r="D93" s="436"/>
      <c r="E93" s="286" t="str">
        <f>IF('Besoin électrique'!B41=0,"",'Besoin électrique'!B41)</f>
        <v/>
      </c>
      <c r="F93" s="286" t="str">
        <f>IF('Besoin électrique'!C41=0,"",'Besoin électrique'!C41)</f>
        <v/>
      </c>
      <c r="G93" s="286" t="str">
        <f>IF('Besoin électrique'!D41=0,"",'Besoin électrique'!D41)</f>
        <v/>
      </c>
      <c r="H93" s="438" t="str">
        <f>IF('Besoin électrique'!E41=0,"",'Besoin électrique'!E41)</f>
        <v/>
      </c>
      <c r="I93" s="439"/>
      <c r="J93" s="438" t="str">
        <f>IF('Besoin électrique'!G41=0,"",'Besoin électrique'!G41)</f>
        <v/>
      </c>
      <c r="K93" s="439"/>
      <c r="L93" s="438" t="str">
        <f>IF('Besoin électrique'!H41=0,"",'Besoin électrique'!H41)</f>
        <v/>
      </c>
      <c r="M93" s="439"/>
      <c r="N93" s="83"/>
      <c r="O93" s="83"/>
      <c r="P93" s="83"/>
      <c r="Q93" s="83"/>
    </row>
    <row r="94" spans="1:17">
      <c r="A94" s="83"/>
      <c r="B94" s="83"/>
      <c r="C94" s="436" t="str">
        <f>IF('Besoin électrique'!A42=0,"",'Besoin électrique'!A42)</f>
        <v/>
      </c>
      <c r="D94" s="436"/>
      <c r="E94" s="286" t="str">
        <f>IF('Besoin électrique'!B42=0,"",'Besoin électrique'!B42)</f>
        <v/>
      </c>
      <c r="F94" s="286" t="str">
        <f>IF('Besoin électrique'!C42=0,"",'Besoin électrique'!C42)</f>
        <v/>
      </c>
      <c r="G94" s="286" t="str">
        <f>IF('Besoin électrique'!D42=0,"",'Besoin électrique'!D42)</f>
        <v/>
      </c>
      <c r="H94" s="438" t="str">
        <f>IF('Besoin électrique'!E42=0,"",'Besoin électrique'!E42)</f>
        <v/>
      </c>
      <c r="I94" s="439"/>
      <c r="J94" s="438" t="str">
        <f>IF('Besoin électrique'!G42=0,"",'Besoin électrique'!G42)</f>
        <v/>
      </c>
      <c r="K94" s="439"/>
      <c r="L94" s="438" t="str">
        <f>IF('Besoin électrique'!H42=0,"",'Besoin électrique'!H42)</f>
        <v/>
      </c>
      <c r="M94" s="439"/>
      <c r="N94" s="83"/>
      <c r="O94" s="83"/>
      <c r="P94" s="83"/>
      <c r="Q94" s="83"/>
    </row>
    <row r="95" spans="1:17">
      <c r="A95" s="83"/>
      <c r="B95" s="83"/>
      <c r="C95" s="436" t="str">
        <f>IF('Besoin électrique'!A43=0,"",'Besoin électrique'!A43)</f>
        <v/>
      </c>
      <c r="D95" s="436"/>
      <c r="E95" s="286" t="str">
        <f>IF('Besoin électrique'!B43=0,"",'Besoin électrique'!B43)</f>
        <v/>
      </c>
      <c r="F95" s="286" t="str">
        <f>IF('Besoin électrique'!C43=0,"",'Besoin électrique'!C43)</f>
        <v/>
      </c>
      <c r="G95" s="286" t="str">
        <f>IF('Besoin électrique'!D43=0,"",'Besoin électrique'!D43)</f>
        <v/>
      </c>
      <c r="H95" s="438" t="str">
        <f>IF('Besoin électrique'!E43=0,"",'Besoin électrique'!E43)</f>
        <v/>
      </c>
      <c r="I95" s="439"/>
      <c r="J95" s="438" t="str">
        <f>IF('Besoin électrique'!G43=0,"",'Besoin électrique'!G43)</f>
        <v/>
      </c>
      <c r="K95" s="439"/>
      <c r="L95" s="438" t="str">
        <f>IF('Besoin électrique'!H43=0,"",'Besoin électrique'!H43)</f>
        <v/>
      </c>
      <c r="M95" s="439"/>
      <c r="N95" s="83"/>
      <c r="O95" s="83"/>
      <c r="P95" s="83"/>
      <c r="Q95" s="83"/>
    </row>
    <row r="96" spans="1:17">
      <c r="A96" s="83"/>
      <c r="B96" s="83"/>
      <c r="C96" s="436" t="str">
        <f>IF('Besoin électrique'!A44=0,"",'Besoin électrique'!A44)</f>
        <v/>
      </c>
      <c r="D96" s="436"/>
      <c r="E96" s="286" t="str">
        <f>IF('Besoin électrique'!B44=0,"",'Besoin électrique'!B44)</f>
        <v/>
      </c>
      <c r="F96" s="286" t="str">
        <f>IF('Besoin électrique'!C44=0,"",'Besoin électrique'!C44)</f>
        <v/>
      </c>
      <c r="G96" s="286" t="str">
        <f>IF('Besoin électrique'!D44=0,"",'Besoin électrique'!D44)</f>
        <v/>
      </c>
      <c r="H96" s="438" t="str">
        <f>IF('Besoin électrique'!E44=0,"",'Besoin électrique'!E44)</f>
        <v/>
      </c>
      <c r="I96" s="439"/>
      <c r="J96" s="438" t="str">
        <f>IF('Besoin électrique'!G44=0,"",'Besoin électrique'!G44)</f>
        <v/>
      </c>
      <c r="K96" s="439"/>
      <c r="L96" s="438" t="str">
        <f>IF('Besoin électrique'!H44=0,"",'Besoin électrique'!H44)</f>
        <v/>
      </c>
      <c r="M96" s="439"/>
      <c r="N96" s="83"/>
      <c r="O96" s="83"/>
      <c r="P96" s="83"/>
      <c r="Q96" s="83"/>
    </row>
    <row r="97" spans="1:17">
      <c r="A97" s="83"/>
      <c r="B97" s="83"/>
      <c r="C97" s="436" t="str">
        <f>IF('Besoin électrique'!A45=0,"",'Besoin électrique'!A45)</f>
        <v/>
      </c>
      <c r="D97" s="436"/>
      <c r="E97" s="286" t="str">
        <f>IF('Besoin électrique'!B45=0,"",'Besoin électrique'!B45)</f>
        <v/>
      </c>
      <c r="F97" s="286" t="str">
        <f>IF('Besoin électrique'!C45=0,"",'Besoin électrique'!C45)</f>
        <v/>
      </c>
      <c r="G97" s="286" t="str">
        <f>IF('Besoin électrique'!D45=0,"",'Besoin électrique'!D45)</f>
        <v/>
      </c>
      <c r="H97" s="438" t="str">
        <f>IF('Besoin électrique'!E45=0,"",'Besoin électrique'!E45)</f>
        <v/>
      </c>
      <c r="I97" s="439"/>
      <c r="J97" s="438" t="str">
        <f>IF('Besoin électrique'!G45=0,"",'Besoin électrique'!G45)</f>
        <v/>
      </c>
      <c r="K97" s="439"/>
      <c r="L97" s="438" t="str">
        <f>IF('Besoin électrique'!H45=0,"",'Besoin électrique'!H45)</f>
        <v/>
      </c>
      <c r="M97" s="439"/>
      <c r="N97" s="83"/>
      <c r="O97" s="83"/>
      <c r="P97" s="83"/>
      <c r="Q97" s="83"/>
    </row>
    <row r="98" spans="1:17">
      <c r="A98" s="83"/>
      <c r="B98" s="83"/>
      <c r="C98" s="436" t="str">
        <f>IF('Besoin électrique'!A46=0,"",'Besoin électrique'!A46)</f>
        <v/>
      </c>
      <c r="D98" s="436"/>
      <c r="E98" s="286" t="str">
        <f>IF('Besoin électrique'!B46=0,"",'Besoin électrique'!B46)</f>
        <v/>
      </c>
      <c r="F98" s="286" t="str">
        <f>IF('Besoin électrique'!C46=0,"",'Besoin électrique'!C46)</f>
        <v/>
      </c>
      <c r="G98" s="286" t="str">
        <f>IF('Besoin électrique'!D46=0,"",'Besoin électrique'!D46)</f>
        <v/>
      </c>
      <c r="H98" s="438" t="str">
        <f>IF('Besoin électrique'!E46=0,"",'Besoin électrique'!E46)</f>
        <v/>
      </c>
      <c r="I98" s="439"/>
      <c r="J98" s="438" t="str">
        <f>IF('Besoin électrique'!G46=0,"",'Besoin électrique'!G46)</f>
        <v/>
      </c>
      <c r="K98" s="439"/>
      <c r="L98" s="438" t="str">
        <f>IF('Besoin électrique'!H46=0,"",'Besoin électrique'!H46)</f>
        <v/>
      </c>
      <c r="M98" s="439"/>
      <c r="N98" s="83"/>
      <c r="O98" s="83"/>
      <c r="P98" s="83"/>
      <c r="Q98" s="83"/>
    </row>
    <row r="99" spans="1:17">
      <c r="A99" s="83"/>
      <c r="B99" s="83"/>
      <c r="C99" s="436" t="str">
        <f>IF('Besoin électrique'!A47=0,"",'Besoin électrique'!A47)</f>
        <v/>
      </c>
      <c r="D99" s="436"/>
      <c r="E99" s="286" t="str">
        <f>IF('Besoin électrique'!B47=0,"",'Besoin électrique'!B47)</f>
        <v/>
      </c>
      <c r="F99" s="286" t="str">
        <f>IF('Besoin électrique'!C47=0,"",'Besoin électrique'!C47)</f>
        <v/>
      </c>
      <c r="G99" s="286" t="str">
        <f>IF('Besoin électrique'!D47=0,"",'Besoin électrique'!D47)</f>
        <v/>
      </c>
      <c r="H99" s="438" t="str">
        <f>IF('Besoin électrique'!E47=0,"",'Besoin électrique'!E47)</f>
        <v/>
      </c>
      <c r="I99" s="439"/>
      <c r="J99" s="438" t="str">
        <f>IF('Besoin électrique'!G47=0,"",'Besoin électrique'!G47)</f>
        <v/>
      </c>
      <c r="K99" s="439"/>
      <c r="L99" s="438" t="str">
        <f>IF('Besoin électrique'!H47=0,"",'Besoin électrique'!H47)</f>
        <v/>
      </c>
      <c r="M99" s="439"/>
      <c r="N99" s="83"/>
      <c r="O99" s="83"/>
      <c r="P99" s="83"/>
      <c r="Q99" s="83"/>
    </row>
    <row r="100" spans="1:17">
      <c r="A100" s="83"/>
      <c r="B100" s="83"/>
      <c r="C100" s="436" t="str">
        <f>IF('Besoin électrique'!A48=0,"",'Besoin électrique'!A48)</f>
        <v/>
      </c>
      <c r="D100" s="436"/>
      <c r="E100" s="286" t="str">
        <f>IF('Besoin électrique'!B48=0,"",'Besoin électrique'!B48)</f>
        <v/>
      </c>
      <c r="F100" s="286" t="str">
        <f>IF('Besoin électrique'!C48=0,"",'Besoin électrique'!C48)</f>
        <v/>
      </c>
      <c r="G100" s="286" t="str">
        <f>IF('Besoin électrique'!D48=0,"",'Besoin électrique'!D48)</f>
        <v/>
      </c>
      <c r="H100" s="438" t="str">
        <f>IF('Besoin électrique'!E48=0,"",'Besoin électrique'!E48)</f>
        <v/>
      </c>
      <c r="I100" s="439"/>
      <c r="J100" s="438" t="str">
        <f>IF('Besoin électrique'!G48=0,"",'Besoin électrique'!G48)</f>
        <v/>
      </c>
      <c r="K100" s="439"/>
      <c r="L100" s="438" t="str">
        <f>IF('Besoin électrique'!H48=0,"",'Besoin électrique'!H48)</f>
        <v/>
      </c>
      <c r="M100" s="439"/>
      <c r="N100" s="83"/>
      <c r="O100" s="83"/>
      <c r="P100" s="83"/>
      <c r="Q100" s="83"/>
    </row>
    <row r="101" spans="1:17">
      <c r="A101" s="83"/>
      <c r="B101" s="83"/>
      <c r="C101" s="436" t="str">
        <f>IF('Besoin électrique'!A49=0,"",'Besoin électrique'!A49)</f>
        <v/>
      </c>
      <c r="D101" s="436"/>
      <c r="E101" s="286" t="str">
        <f>IF('Besoin électrique'!B49=0,"",'Besoin électrique'!B49)</f>
        <v/>
      </c>
      <c r="F101" s="286" t="str">
        <f>IF('Besoin électrique'!C49=0,"",'Besoin électrique'!C49)</f>
        <v/>
      </c>
      <c r="G101" s="286" t="str">
        <f>IF('Besoin électrique'!D49=0,"",'Besoin électrique'!D49)</f>
        <v/>
      </c>
      <c r="H101" s="438" t="str">
        <f>IF('Besoin électrique'!E49=0,"",'Besoin électrique'!E49)</f>
        <v/>
      </c>
      <c r="I101" s="439"/>
      <c r="J101" s="438" t="str">
        <f>IF('Besoin électrique'!G49=0,"",'Besoin électrique'!G49)</f>
        <v/>
      </c>
      <c r="K101" s="439"/>
      <c r="L101" s="438" t="str">
        <f>IF('Besoin électrique'!H49=0,"",'Besoin électrique'!H49)</f>
        <v/>
      </c>
      <c r="M101" s="439"/>
      <c r="N101" s="83"/>
      <c r="O101" s="83"/>
      <c r="P101" s="83"/>
      <c r="Q101" s="83"/>
    </row>
    <row r="102" spans="1:17">
      <c r="A102" s="83"/>
      <c r="B102" s="83"/>
      <c r="C102" s="436" t="str">
        <f>IF('Besoin électrique'!A50=0,"",'Besoin électrique'!A50)</f>
        <v/>
      </c>
      <c r="D102" s="436"/>
      <c r="E102" s="286" t="str">
        <f>IF('Besoin électrique'!B50=0,"",'Besoin électrique'!B50)</f>
        <v/>
      </c>
      <c r="F102" s="286" t="str">
        <f>IF('Besoin électrique'!C50=0,"",'Besoin électrique'!C50)</f>
        <v/>
      </c>
      <c r="G102" s="286" t="str">
        <f>IF('Besoin électrique'!D50=0,"",'Besoin électrique'!D50)</f>
        <v/>
      </c>
      <c r="H102" s="438" t="str">
        <f>IF('Besoin électrique'!E50=0,"",'Besoin électrique'!E50)</f>
        <v/>
      </c>
      <c r="I102" s="439"/>
      <c r="J102" s="438" t="str">
        <f>IF('Besoin électrique'!G50=0,"",'Besoin électrique'!G50)</f>
        <v/>
      </c>
      <c r="K102" s="439"/>
      <c r="L102" s="438" t="str">
        <f>IF('Besoin électrique'!H50=0,"",'Besoin électrique'!H50)</f>
        <v/>
      </c>
      <c r="M102" s="439"/>
      <c r="N102" s="83"/>
      <c r="O102" s="83"/>
      <c r="P102" s="83"/>
      <c r="Q102" s="83"/>
    </row>
    <row r="103" spans="1:17">
      <c r="A103" s="83"/>
      <c r="B103" s="83"/>
      <c r="C103" s="436" t="str">
        <f>IF('Besoin électrique'!A51=0,"",'Besoin électrique'!A51)</f>
        <v/>
      </c>
      <c r="D103" s="436"/>
      <c r="E103" s="286" t="str">
        <f>IF('Besoin électrique'!B51=0,"",'Besoin électrique'!B51)</f>
        <v/>
      </c>
      <c r="F103" s="286" t="str">
        <f>IF('Besoin électrique'!C51=0,"",'Besoin électrique'!C51)</f>
        <v/>
      </c>
      <c r="G103" s="286" t="str">
        <f>IF('Besoin électrique'!D51=0,"",'Besoin électrique'!D51)</f>
        <v/>
      </c>
      <c r="H103" s="438" t="str">
        <f>IF('Besoin électrique'!E51=0,"",'Besoin électrique'!E51)</f>
        <v/>
      </c>
      <c r="I103" s="439"/>
      <c r="J103" s="438" t="str">
        <f>IF('Besoin électrique'!G51=0,"",'Besoin électrique'!G51)</f>
        <v/>
      </c>
      <c r="K103" s="439"/>
      <c r="L103" s="438" t="str">
        <f>IF('Besoin électrique'!H51=0,"",'Besoin électrique'!H51)</f>
        <v/>
      </c>
      <c r="M103" s="439"/>
      <c r="N103" s="83"/>
      <c r="O103" s="83"/>
      <c r="P103" s="83"/>
      <c r="Q103" s="83"/>
    </row>
    <row r="104" spans="1:17">
      <c r="A104" s="83"/>
      <c r="B104" s="83"/>
      <c r="C104" s="411" t="s">
        <v>352</v>
      </c>
      <c r="D104" s="412"/>
      <c r="E104" s="412"/>
      <c r="F104" s="412"/>
      <c r="G104" s="412"/>
      <c r="H104" s="412"/>
      <c r="I104" s="413"/>
      <c r="J104" s="438" t="str">
        <f>IF('Besoin électrique'!G52=0,"",'Besoin électrique'!G52)</f>
        <v/>
      </c>
      <c r="K104" s="439"/>
      <c r="L104" s="438" t="str">
        <f>IF('Besoin électrique'!H52=0,"",'Besoin électrique'!H52)</f>
        <v/>
      </c>
      <c r="M104" s="439"/>
      <c r="N104" s="83"/>
      <c r="O104" s="83"/>
      <c r="P104" s="83"/>
      <c r="Q104" s="83"/>
    </row>
    <row r="105" spans="1:17">
      <c r="A105" s="83"/>
      <c r="B105" s="83"/>
      <c r="C105" s="83"/>
      <c r="D105" s="83"/>
      <c r="E105" s="83"/>
      <c r="F105" s="83"/>
      <c r="G105" s="83"/>
      <c r="H105" s="83"/>
      <c r="I105" s="83"/>
      <c r="J105" s="83"/>
      <c r="K105" s="83"/>
      <c r="L105" s="83"/>
      <c r="M105" s="83"/>
      <c r="N105" s="83"/>
      <c r="O105" s="83"/>
      <c r="P105" s="83"/>
      <c r="Q105" s="83"/>
    </row>
    <row r="106" spans="1:17">
      <c r="A106" s="83"/>
      <c r="B106" s="83"/>
      <c r="C106" s="83"/>
      <c r="D106" s="83"/>
      <c r="E106" s="83"/>
      <c r="F106" s="83"/>
      <c r="G106" s="83"/>
      <c r="H106" s="83"/>
      <c r="I106" s="83"/>
      <c r="J106" s="83"/>
      <c r="K106" s="83"/>
      <c r="L106" s="83"/>
      <c r="M106" s="83"/>
      <c r="N106" s="83"/>
      <c r="O106" s="83"/>
      <c r="P106" s="83"/>
      <c r="Q106" s="83"/>
    </row>
    <row r="107" spans="1:17">
      <c r="A107" s="83"/>
      <c r="B107" s="83"/>
      <c r="C107" s="83"/>
      <c r="D107" s="83"/>
      <c r="E107" s="83"/>
      <c r="F107" s="83"/>
      <c r="G107" s="83"/>
      <c r="H107" s="83"/>
      <c r="I107" s="83"/>
      <c r="J107" s="83"/>
      <c r="K107" s="83"/>
      <c r="L107" s="83"/>
      <c r="M107" s="83"/>
      <c r="N107" s="83"/>
      <c r="O107" s="83"/>
      <c r="P107" s="83"/>
      <c r="Q107" s="83"/>
    </row>
    <row r="108" spans="1:17">
      <c r="A108" s="83"/>
      <c r="B108" s="83"/>
      <c r="C108" s="83"/>
      <c r="D108" s="83"/>
      <c r="E108" s="83"/>
      <c r="F108" s="83"/>
      <c r="G108" s="83"/>
      <c r="H108" s="83"/>
      <c r="I108" s="83"/>
      <c r="J108" s="83"/>
      <c r="K108" s="83"/>
      <c r="L108" s="83"/>
      <c r="M108" s="83"/>
      <c r="N108" s="83"/>
      <c r="O108" s="83"/>
      <c r="P108" s="83"/>
      <c r="Q108" s="83"/>
    </row>
  </sheetData>
  <sheetProtection password="DEB3" sheet="1" objects="1" scenarios="1"/>
  <mergeCells count="243">
    <mergeCell ref="H101:I101"/>
    <mergeCell ref="H102:I102"/>
    <mergeCell ref="H103:I103"/>
    <mergeCell ref="C70:I70"/>
    <mergeCell ref="C87:I87"/>
    <mergeCell ref="C104:I104"/>
    <mergeCell ref="J101:K101"/>
    <mergeCell ref="J102:K102"/>
    <mergeCell ref="J103:K103"/>
    <mergeCell ref="J104:K104"/>
    <mergeCell ref="H89:I89"/>
    <mergeCell ref="H90:I90"/>
    <mergeCell ref="H91:I91"/>
    <mergeCell ref="H92:I92"/>
    <mergeCell ref="H93:I93"/>
    <mergeCell ref="H94:I94"/>
    <mergeCell ref="H95:I95"/>
    <mergeCell ref="H96:I96"/>
    <mergeCell ref="H97:I97"/>
    <mergeCell ref="H98:I98"/>
    <mergeCell ref="H99:I99"/>
    <mergeCell ref="H100:I100"/>
    <mergeCell ref="H72:I72"/>
    <mergeCell ref="H73:I73"/>
    <mergeCell ref="L101:M101"/>
    <mergeCell ref="L102:M102"/>
    <mergeCell ref="L103:M103"/>
    <mergeCell ref="L104:M104"/>
    <mergeCell ref="J89:K89"/>
    <mergeCell ref="J90:K90"/>
    <mergeCell ref="J91:K91"/>
    <mergeCell ref="J92:K92"/>
    <mergeCell ref="J93:K93"/>
    <mergeCell ref="J94:K94"/>
    <mergeCell ref="J95:K95"/>
    <mergeCell ref="J96:K96"/>
    <mergeCell ref="J97:K97"/>
    <mergeCell ref="J98:K98"/>
    <mergeCell ref="J99:K99"/>
    <mergeCell ref="J100:K100"/>
    <mergeCell ref="L96:M96"/>
    <mergeCell ref="L97:M97"/>
    <mergeCell ref="L98:M98"/>
    <mergeCell ref="L99:M99"/>
    <mergeCell ref="L100:M100"/>
    <mergeCell ref="L91:M91"/>
    <mergeCell ref="L92:M92"/>
    <mergeCell ref="L93:M93"/>
    <mergeCell ref="L94:M94"/>
    <mergeCell ref="L95:M95"/>
    <mergeCell ref="H82:I82"/>
    <mergeCell ref="H83:I83"/>
    <mergeCell ref="H84:I84"/>
    <mergeCell ref="H85:I85"/>
    <mergeCell ref="H86:I86"/>
    <mergeCell ref="H77:I77"/>
    <mergeCell ref="H78:I78"/>
    <mergeCell ref="H79:I79"/>
    <mergeCell ref="H80:I80"/>
    <mergeCell ref="H81:I81"/>
    <mergeCell ref="L87:M87"/>
    <mergeCell ref="H74:I74"/>
    <mergeCell ref="H75:I75"/>
    <mergeCell ref="H76:I76"/>
    <mergeCell ref="J82:K82"/>
    <mergeCell ref="J83:K83"/>
    <mergeCell ref="J84:K84"/>
    <mergeCell ref="J85:K85"/>
    <mergeCell ref="J86:K86"/>
    <mergeCell ref="J77:K77"/>
    <mergeCell ref="J78:K78"/>
    <mergeCell ref="J79:K79"/>
    <mergeCell ref="J80:K80"/>
    <mergeCell ref="J81:K81"/>
    <mergeCell ref="J73:K73"/>
    <mergeCell ref="J74:K74"/>
    <mergeCell ref="J75:K75"/>
    <mergeCell ref="J76:K76"/>
    <mergeCell ref="L83:M83"/>
    <mergeCell ref="L84:M84"/>
    <mergeCell ref="L85:M85"/>
    <mergeCell ref="L86:M86"/>
    <mergeCell ref="L78:M78"/>
    <mergeCell ref="L79:M79"/>
    <mergeCell ref="L80:M80"/>
    <mergeCell ref="L81:M81"/>
    <mergeCell ref="L82:M82"/>
    <mergeCell ref="L73:M73"/>
    <mergeCell ref="L74:M74"/>
    <mergeCell ref="L75:M75"/>
    <mergeCell ref="L76:M76"/>
    <mergeCell ref="L77:M77"/>
    <mergeCell ref="L67:M67"/>
    <mergeCell ref="L68:M68"/>
    <mergeCell ref="L69:M69"/>
    <mergeCell ref="L70:M70"/>
    <mergeCell ref="L72:M72"/>
    <mergeCell ref="J67:K67"/>
    <mergeCell ref="J68:K68"/>
    <mergeCell ref="J69:K69"/>
    <mergeCell ref="J70:K70"/>
    <mergeCell ref="J72:K72"/>
    <mergeCell ref="L55:M55"/>
    <mergeCell ref="L56:M56"/>
    <mergeCell ref="L57:M57"/>
    <mergeCell ref="L58:M58"/>
    <mergeCell ref="L59:M59"/>
    <mergeCell ref="L60:M60"/>
    <mergeCell ref="L61:M61"/>
    <mergeCell ref="L62:M62"/>
    <mergeCell ref="L63:M63"/>
    <mergeCell ref="L64:M64"/>
    <mergeCell ref="L65:M65"/>
    <mergeCell ref="L66:M66"/>
    <mergeCell ref="J62:K62"/>
    <mergeCell ref="J63:K63"/>
    <mergeCell ref="J64:K64"/>
    <mergeCell ref="J65:K65"/>
    <mergeCell ref="J66:K66"/>
    <mergeCell ref="C101:D101"/>
    <mergeCell ref="C86:D86"/>
    <mergeCell ref="C88:M88"/>
    <mergeCell ref="C89:D89"/>
    <mergeCell ref="C90:D90"/>
    <mergeCell ref="J87:K87"/>
    <mergeCell ref="L89:M89"/>
    <mergeCell ref="L90:M90"/>
    <mergeCell ref="C81:D81"/>
    <mergeCell ref="C82:D82"/>
    <mergeCell ref="C83:D83"/>
    <mergeCell ref="C84:D84"/>
    <mergeCell ref="C85:D85"/>
    <mergeCell ref="C76:D76"/>
    <mergeCell ref="C77:D77"/>
    <mergeCell ref="C78:D78"/>
    <mergeCell ref="C102:D102"/>
    <mergeCell ref="C103:D103"/>
    <mergeCell ref="H55:I55"/>
    <mergeCell ref="H56:I56"/>
    <mergeCell ref="H57:I57"/>
    <mergeCell ref="H58:I58"/>
    <mergeCell ref="H59:I59"/>
    <mergeCell ref="H60:I60"/>
    <mergeCell ref="H61:I61"/>
    <mergeCell ref="H62:I62"/>
    <mergeCell ref="H63:I63"/>
    <mergeCell ref="H64:I64"/>
    <mergeCell ref="H65:I65"/>
    <mergeCell ref="H66:I66"/>
    <mergeCell ref="C96:D96"/>
    <mergeCell ref="C97:D97"/>
    <mergeCell ref="C98:D98"/>
    <mergeCell ref="C99:D99"/>
    <mergeCell ref="C100:D100"/>
    <mergeCell ref="C91:D91"/>
    <mergeCell ref="C92:D92"/>
    <mergeCell ref="C93:D93"/>
    <mergeCell ref="C94:D94"/>
    <mergeCell ref="C95:D95"/>
    <mergeCell ref="C79:D79"/>
    <mergeCell ref="C80:D80"/>
    <mergeCell ref="C73:D73"/>
    <mergeCell ref="C54:M54"/>
    <mergeCell ref="C71:M71"/>
    <mergeCell ref="C74:D74"/>
    <mergeCell ref="C75:D75"/>
    <mergeCell ref="H67:I67"/>
    <mergeCell ref="H68:I68"/>
    <mergeCell ref="H69:I69"/>
    <mergeCell ref="J55:K55"/>
    <mergeCell ref="J56:K56"/>
    <mergeCell ref="J57:K57"/>
    <mergeCell ref="J58:K58"/>
    <mergeCell ref="J59:K59"/>
    <mergeCell ref="J60:K60"/>
    <mergeCell ref="J61:K61"/>
    <mergeCell ref="C68:D68"/>
    <mergeCell ref="C69:D69"/>
    <mergeCell ref="C72:D72"/>
    <mergeCell ref="C63:D63"/>
    <mergeCell ref="C64:D64"/>
    <mergeCell ref="C65:D65"/>
    <mergeCell ref="C66:D66"/>
    <mergeCell ref="C67:D67"/>
    <mergeCell ref="C58:D58"/>
    <mergeCell ref="C59:D59"/>
    <mergeCell ref="C60:D60"/>
    <mergeCell ref="C61:D61"/>
    <mergeCell ref="C62:D62"/>
    <mergeCell ref="E50:K51"/>
    <mergeCell ref="C55:D55"/>
    <mergeCell ref="C56:D56"/>
    <mergeCell ref="C57:D57"/>
    <mergeCell ref="F52:G52"/>
    <mergeCell ref="C52:D53"/>
    <mergeCell ref="E52:E53"/>
    <mergeCell ref="H52:I53"/>
    <mergeCell ref="J52:K53"/>
    <mergeCell ref="L52:M53"/>
    <mergeCell ref="C49:D49"/>
    <mergeCell ref="E49:I49"/>
    <mergeCell ref="J49:K49"/>
    <mergeCell ref="L49:M49"/>
    <mergeCell ref="D4:E4"/>
    <mergeCell ref="F4:G4"/>
    <mergeCell ref="C1:D1"/>
    <mergeCell ref="L1:M1"/>
    <mergeCell ref="J1:K1"/>
    <mergeCell ref="E1:I1"/>
    <mergeCell ref="E3:K3"/>
    <mergeCell ref="C5:D5"/>
    <mergeCell ref="E5:G5"/>
    <mergeCell ref="C6:D6"/>
    <mergeCell ref="E7:F7"/>
    <mergeCell ref="I7:J7"/>
    <mergeCell ref="C17:D17"/>
    <mergeCell ref="G17:J17"/>
    <mergeCell ref="F8:G8"/>
    <mergeCell ref="C10:D10"/>
    <mergeCell ref="C11:D11"/>
    <mergeCell ref="H10:J10"/>
    <mergeCell ref="C12:E12"/>
    <mergeCell ref="D13:E13"/>
    <mergeCell ref="H13:I13"/>
    <mergeCell ref="C14:M14"/>
    <mergeCell ref="D15:E15"/>
    <mergeCell ref="C16:D16"/>
    <mergeCell ref="C9:D9"/>
    <mergeCell ref="C32:M32"/>
    <mergeCell ref="C19:D19"/>
    <mergeCell ref="C20:E20"/>
    <mergeCell ref="C21:E21"/>
    <mergeCell ref="C23:D23"/>
    <mergeCell ref="C22:E22"/>
    <mergeCell ref="C24:E24"/>
    <mergeCell ref="C25:M25"/>
    <mergeCell ref="D26:E26"/>
    <mergeCell ref="C27:E27"/>
    <mergeCell ref="C28:E28"/>
    <mergeCell ref="C29:E29"/>
    <mergeCell ref="C30:E30"/>
    <mergeCell ref="C31:E31"/>
    <mergeCell ref="I29:J29"/>
  </mergeCells>
  <printOptions horizontalCentered="1" verticalCentered="1"/>
  <pageMargins left="0.70866141732283472" right="0.70866141732283472" top="0.74803149606299213" bottom="0.74803149606299213" header="0.31496062992125984" footer="0.31496062992125984"/>
  <pageSetup paperSize="9" scale="69" orientation="portrait" r:id="rId1"/>
  <rowBreaks count="1" manualBreakCount="1">
    <brk id="47" max="16383" man="1"/>
  </rowBreaks>
  <colBreaks count="1" manualBreakCount="1">
    <brk id="13" max="1048575" man="1"/>
  </colBreaks>
  <drawing r:id="rId2"/>
</worksheet>
</file>

<file path=xl/worksheets/sheet9.xml><?xml version="1.0" encoding="utf-8"?>
<worksheet xmlns="http://schemas.openxmlformats.org/spreadsheetml/2006/main" xmlns:r="http://schemas.openxmlformats.org/officeDocument/2006/relationships">
  <sheetPr codeName="Feuil10">
    <tabColor rgb="FF92D050"/>
  </sheetPr>
  <dimension ref="A1:V464"/>
  <sheetViews>
    <sheetView workbookViewId="0">
      <pane ySplit="1" topLeftCell="A2" activePane="bottomLeft" state="frozen"/>
      <selection pane="bottomLeft" activeCell="G1" sqref="G1"/>
    </sheetView>
  </sheetViews>
  <sheetFormatPr baseColWidth="10" defaultColWidth="11.42578125" defaultRowHeight="17.25"/>
  <cols>
    <col min="1" max="1" width="33.42578125" style="214" customWidth="1"/>
    <col min="2" max="2" width="9.7109375" style="214" customWidth="1"/>
    <col min="3" max="3" width="15.5703125" style="214" customWidth="1"/>
    <col min="4" max="4" width="25.42578125" style="214" customWidth="1"/>
    <col min="5" max="5" width="7" style="214" customWidth="1"/>
    <col min="6" max="6" width="22.5703125" style="214" customWidth="1"/>
    <col min="7" max="7" width="8.28515625" style="214" customWidth="1"/>
    <col min="8" max="8" width="22.28515625" style="214" customWidth="1"/>
    <col min="9" max="16384" width="11.42578125" style="214"/>
  </cols>
  <sheetData>
    <row r="1" spans="1:22" ht="54" customHeight="1">
      <c r="E1" s="226"/>
      <c r="G1" s="60"/>
      <c r="H1" s="217"/>
      <c r="I1" s="216"/>
      <c r="J1" s="216"/>
      <c r="K1" s="216"/>
      <c r="L1" s="216"/>
      <c r="M1" s="216"/>
    </row>
    <row r="2" spans="1:22">
      <c r="A2" s="230" t="s">
        <v>397</v>
      </c>
      <c r="B2" s="230"/>
      <c r="C2" s="231"/>
      <c r="D2" s="238"/>
      <c r="E2" s="232" t="str">
        <f>IF(E$1=0,"",E$1)</f>
        <v/>
      </c>
      <c r="F2" s="446">
        <f>IF(E$1="FCFA",1,G$1)</f>
        <v>0</v>
      </c>
      <c r="G2" s="446"/>
      <c r="H2" s="229">
        <f>C2*D2*F2</f>
        <v>0</v>
      </c>
      <c r="I2" s="218"/>
      <c r="J2" s="218"/>
      <c r="K2" s="218"/>
      <c r="L2" s="218"/>
      <c r="M2" s="218"/>
      <c r="N2" s="218"/>
      <c r="O2" s="218"/>
      <c r="P2" s="218"/>
      <c r="Q2" s="218"/>
      <c r="R2" s="218"/>
      <c r="S2" s="218"/>
      <c r="T2" s="218"/>
      <c r="U2" s="218"/>
      <c r="V2" s="218"/>
    </row>
    <row r="3" spans="1:22">
      <c r="A3" s="230"/>
      <c r="B3" s="230"/>
      <c r="C3" s="231"/>
      <c r="D3" s="238"/>
      <c r="E3" s="233" t="str">
        <f t="shared" ref="E3:E20" si="0">IF(E$1=0,"",E$1)</f>
        <v/>
      </c>
      <c r="F3" s="441">
        <f t="shared" ref="F3:F20" si="1">IF(E$1="FCFA",1,G$1)</f>
        <v>0</v>
      </c>
      <c r="G3" s="441"/>
      <c r="H3" s="228">
        <f t="shared" ref="H3:H20" si="2">C3*D3*F3</f>
        <v>0</v>
      </c>
      <c r="I3" s="218"/>
      <c r="J3" s="218"/>
      <c r="K3" s="218"/>
      <c r="L3" s="218"/>
      <c r="M3" s="218"/>
      <c r="N3" s="218"/>
      <c r="O3" s="218"/>
      <c r="P3" s="218"/>
      <c r="Q3" s="218"/>
      <c r="R3" s="218"/>
      <c r="S3" s="218"/>
      <c r="T3" s="218"/>
      <c r="U3" s="218"/>
      <c r="V3" s="218"/>
    </row>
    <row r="4" spans="1:22">
      <c r="A4" s="230"/>
      <c r="B4" s="230"/>
      <c r="C4" s="231"/>
      <c r="D4" s="238"/>
      <c r="E4" s="233" t="str">
        <f t="shared" si="0"/>
        <v/>
      </c>
      <c r="F4" s="441">
        <f t="shared" si="1"/>
        <v>0</v>
      </c>
      <c r="G4" s="441"/>
      <c r="H4" s="228">
        <f t="shared" si="2"/>
        <v>0</v>
      </c>
      <c r="I4" s="218"/>
      <c r="J4" s="218"/>
      <c r="K4" s="218"/>
      <c r="L4" s="218"/>
      <c r="M4" s="218"/>
      <c r="N4" s="218"/>
      <c r="O4" s="218"/>
      <c r="P4" s="218"/>
      <c r="Q4" s="218"/>
      <c r="R4" s="218"/>
      <c r="S4" s="218"/>
      <c r="T4" s="218"/>
      <c r="U4" s="218"/>
      <c r="V4" s="218"/>
    </row>
    <row r="5" spans="1:22">
      <c r="A5" s="230"/>
      <c r="B5" s="230"/>
      <c r="C5" s="231"/>
      <c r="D5" s="238"/>
      <c r="E5" s="233" t="str">
        <f t="shared" si="0"/>
        <v/>
      </c>
      <c r="F5" s="441">
        <f t="shared" si="1"/>
        <v>0</v>
      </c>
      <c r="G5" s="441"/>
      <c r="H5" s="228">
        <f t="shared" si="2"/>
        <v>0</v>
      </c>
      <c r="I5" s="218"/>
      <c r="J5" s="218"/>
      <c r="K5" s="218"/>
      <c r="L5" s="218"/>
      <c r="M5" s="218"/>
      <c r="N5" s="218"/>
      <c r="O5" s="218"/>
      <c r="P5" s="218"/>
      <c r="Q5" s="218"/>
      <c r="R5" s="218"/>
      <c r="S5" s="218"/>
      <c r="T5" s="218"/>
      <c r="U5" s="218"/>
      <c r="V5" s="218"/>
    </row>
    <row r="6" spans="1:22">
      <c r="A6" s="230"/>
      <c r="B6" s="230"/>
      <c r="C6" s="231"/>
      <c r="D6" s="238"/>
      <c r="E6" s="233" t="str">
        <f t="shared" si="0"/>
        <v/>
      </c>
      <c r="F6" s="441">
        <f t="shared" si="1"/>
        <v>0</v>
      </c>
      <c r="G6" s="441"/>
      <c r="H6" s="228">
        <f t="shared" si="2"/>
        <v>0</v>
      </c>
      <c r="I6" s="218"/>
      <c r="J6" s="218"/>
      <c r="K6" s="218"/>
      <c r="L6" s="218"/>
      <c r="M6" s="218"/>
      <c r="N6" s="218"/>
      <c r="O6" s="218"/>
      <c r="P6" s="218"/>
      <c r="Q6" s="218"/>
      <c r="R6" s="218"/>
      <c r="S6" s="218"/>
      <c r="T6" s="218"/>
      <c r="U6" s="218"/>
      <c r="V6" s="218"/>
    </row>
    <row r="7" spans="1:22">
      <c r="A7" s="230"/>
      <c r="B7" s="230"/>
      <c r="C7" s="231"/>
      <c r="D7" s="238"/>
      <c r="E7" s="233" t="str">
        <f t="shared" si="0"/>
        <v/>
      </c>
      <c r="F7" s="441">
        <f t="shared" si="1"/>
        <v>0</v>
      </c>
      <c r="G7" s="441"/>
      <c r="H7" s="228">
        <f t="shared" si="2"/>
        <v>0</v>
      </c>
      <c r="I7" s="218"/>
      <c r="J7" s="218"/>
      <c r="K7" s="218"/>
      <c r="L7" s="218"/>
      <c r="M7" s="218"/>
      <c r="N7" s="218"/>
      <c r="O7" s="218"/>
      <c r="P7" s="218"/>
      <c r="Q7" s="218"/>
      <c r="R7" s="218"/>
      <c r="S7" s="218"/>
      <c r="T7" s="218"/>
      <c r="U7" s="218"/>
      <c r="V7" s="218"/>
    </row>
    <row r="8" spans="1:22">
      <c r="A8" s="230"/>
      <c r="B8" s="230"/>
      <c r="C8" s="231"/>
      <c r="D8" s="238"/>
      <c r="E8" s="233" t="str">
        <f t="shared" si="0"/>
        <v/>
      </c>
      <c r="F8" s="441">
        <f t="shared" si="1"/>
        <v>0</v>
      </c>
      <c r="G8" s="441"/>
      <c r="H8" s="228">
        <f t="shared" si="2"/>
        <v>0</v>
      </c>
      <c r="I8" s="218"/>
      <c r="J8" s="218"/>
      <c r="K8" s="218"/>
      <c r="L8" s="218"/>
      <c r="M8" s="218"/>
      <c r="N8" s="218"/>
      <c r="O8" s="218"/>
      <c r="P8" s="218"/>
      <c r="Q8" s="218"/>
      <c r="R8" s="218"/>
      <c r="S8" s="218"/>
      <c r="T8" s="218"/>
      <c r="U8" s="218"/>
      <c r="V8" s="218"/>
    </row>
    <row r="9" spans="1:22">
      <c r="A9" s="230"/>
      <c r="B9" s="230"/>
      <c r="C9" s="231"/>
      <c r="D9" s="238"/>
      <c r="E9" s="233" t="str">
        <f t="shared" si="0"/>
        <v/>
      </c>
      <c r="F9" s="441">
        <f t="shared" si="1"/>
        <v>0</v>
      </c>
      <c r="G9" s="441"/>
      <c r="H9" s="228">
        <f t="shared" si="2"/>
        <v>0</v>
      </c>
      <c r="I9" s="218"/>
      <c r="J9" s="218"/>
      <c r="K9" s="218"/>
      <c r="L9" s="218"/>
      <c r="M9" s="218"/>
      <c r="N9" s="218"/>
      <c r="O9" s="218"/>
      <c r="P9" s="218"/>
      <c r="Q9" s="218"/>
      <c r="R9" s="218"/>
      <c r="S9" s="218"/>
      <c r="T9" s="218"/>
      <c r="U9" s="218"/>
      <c r="V9" s="218"/>
    </row>
    <row r="10" spans="1:22">
      <c r="A10" s="230"/>
      <c r="B10" s="230"/>
      <c r="C10" s="231"/>
      <c r="D10" s="238"/>
      <c r="E10" s="233" t="str">
        <f t="shared" si="0"/>
        <v/>
      </c>
      <c r="F10" s="441">
        <f t="shared" si="1"/>
        <v>0</v>
      </c>
      <c r="G10" s="441"/>
      <c r="H10" s="228">
        <f t="shared" si="2"/>
        <v>0</v>
      </c>
      <c r="I10" s="218"/>
      <c r="J10" s="218"/>
      <c r="K10" s="218"/>
      <c r="L10" s="218"/>
      <c r="M10" s="218"/>
      <c r="N10" s="218"/>
      <c r="O10" s="218"/>
      <c r="P10" s="218"/>
      <c r="Q10" s="218"/>
      <c r="R10" s="218"/>
      <c r="S10" s="218"/>
      <c r="T10" s="218"/>
      <c r="U10" s="218"/>
      <c r="V10" s="218"/>
    </row>
    <row r="11" spans="1:22">
      <c r="A11" s="230"/>
      <c r="B11" s="230"/>
      <c r="C11" s="231"/>
      <c r="D11" s="231"/>
      <c r="E11" s="233" t="str">
        <f t="shared" si="0"/>
        <v/>
      </c>
      <c r="F11" s="441">
        <f t="shared" si="1"/>
        <v>0</v>
      </c>
      <c r="G11" s="441"/>
      <c r="H11" s="228">
        <f t="shared" si="2"/>
        <v>0</v>
      </c>
      <c r="I11" s="218"/>
      <c r="J11" s="218"/>
      <c r="K11" s="218"/>
      <c r="L11" s="218"/>
      <c r="M11" s="218"/>
      <c r="N11" s="218"/>
      <c r="O11" s="218"/>
      <c r="P11" s="218"/>
      <c r="Q11" s="218"/>
      <c r="R11" s="218"/>
      <c r="S11" s="218"/>
      <c r="T11" s="218"/>
      <c r="U11" s="218"/>
      <c r="V11" s="218"/>
    </row>
    <row r="12" spans="1:22">
      <c r="A12" s="230"/>
      <c r="B12" s="230"/>
      <c r="C12" s="231"/>
      <c r="D12" s="231"/>
      <c r="E12" s="233" t="str">
        <f t="shared" si="0"/>
        <v/>
      </c>
      <c r="F12" s="441">
        <f t="shared" si="1"/>
        <v>0</v>
      </c>
      <c r="G12" s="441"/>
      <c r="H12" s="228">
        <f t="shared" si="2"/>
        <v>0</v>
      </c>
      <c r="I12" s="218"/>
      <c r="J12" s="218"/>
      <c r="K12" s="218"/>
      <c r="L12" s="218"/>
      <c r="M12" s="218"/>
      <c r="N12" s="218"/>
      <c r="O12" s="218"/>
      <c r="P12" s="218"/>
      <c r="Q12" s="218"/>
      <c r="R12" s="218"/>
      <c r="S12" s="218"/>
      <c r="T12" s="218"/>
      <c r="U12" s="218"/>
      <c r="V12" s="218"/>
    </row>
    <row r="13" spans="1:22">
      <c r="A13" s="230"/>
      <c r="B13" s="230"/>
      <c r="C13" s="231"/>
      <c r="D13" s="231"/>
      <c r="E13" s="233" t="str">
        <f t="shared" si="0"/>
        <v/>
      </c>
      <c r="F13" s="441">
        <f t="shared" si="1"/>
        <v>0</v>
      </c>
      <c r="G13" s="441"/>
      <c r="H13" s="228">
        <f t="shared" si="2"/>
        <v>0</v>
      </c>
      <c r="I13" s="218"/>
      <c r="J13" s="218"/>
      <c r="K13" s="218"/>
      <c r="L13" s="218"/>
      <c r="M13" s="218"/>
      <c r="N13" s="218"/>
      <c r="O13" s="218"/>
      <c r="P13" s="218"/>
      <c r="Q13" s="218"/>
      <c r="R13" s="218"/>
      <c r="S13" s="218"/>
      <c r="T13" s="218"/>
      <c r="U13" s="218"/>
      <c r="V13" s="218"/>
    </row>
    <row r="14" spans="1:22">
      <c r="A14" s="230"/>
      <c r="B14" s="230"/>
      <c r="C14" s="231"/>
      <c r="D14" s="238"/>
      <c r="E14" s="233" t="str">
        <f t="shared" si="0"/>
        <v/>
      </c>
      <c r="F14" s="441">
        <f t="shared" si="1"/>
        <v>0</v>
      </c>
      <c r="G14" s="441"/>
      <c r="H14" s="228">
        <f t="shared" si="2"/>
        <v>0</v>
      </c>
      <c r="I14" s="218"/>
      <c r="J14" s="218"/>
      <c r="K14" s="218"/>
      <c r="L14" s="218"/>
      <c r="M14" s="218"/>
      <c r="N14" s="218"/>
      <c r="O14" s="218"/>
      <c r="P14" s="218"/>
      <c r="Q14" s="218"/>
      <c r="R14" s="218"/>
      <c r="S14" s="218"/>
      <c r="T14" s="218"/>
      <c r="U14" s="218"/>
      <c r="V14" s="218"/>
    </row>
    <row r="15" spans="1:22">
      <c r="A15" s="230"/>
      <c r="B15" s="230"/>
      <c r="C15" s="231"/>
      <c r="D15" s="231"/>
      <c r="E15" s="233" t="str">
        <f t="shared" si="0"/>
        <v/>
      </c>
      <c r="F15" s="441">
        <f t="shared" si="1"/>
        <v>0</v>
      </c>
      <c r="G15" s="441"/>
      <c r="H15" s="228">
        <f t="shared" si="2"/>
        <v>0</v>
      </c>
      <c r="I15" s="218"/>
      <c r="J15" s="218"/>
      <c r="K15" s="218"/>
      <c r="L15" s="218"/>
      <c r="M15" s="218"/>
      <c r="N15" s="218"/>
      <c r="O15" s="218"/>
      <c r="P15" s="218"/>
      <c r="Q15" s="218"/>
      <c r="R15" s="218"/>
      <c r="S15" s="218"/>
      <c r="T15" s="218"/>
      <c r="U15" s="218"/>
      <c r="V15" s="218"/>
    </row>
    <row r="16" spans="1:22">
      <c r="A16" s="230"/>
      <c r="B16" s="230"/>
      <c r="C16" s="231"/>
      <c r="D16" s="231"/>
      <c r="E16" s="233" t="str">
        <f t="shared" si="0"/>
        <v/>
      </c>
      <c r="F16" s="441">
        <f t="shared" si="1"/>
        <v>0</v>
      </c>
      <c r="G16" s="441"/>
      <c r="H16" s="228">
        <f t="shared" si="2"/>
        <v>0</v>
      </c>
      <c r="I16" s="218"/>
      <c r="J16" s="218"/>
      <c r="K16" s="218"/>
      <c r="L16" s="218"/>
      <c r="M16" s="218"/>
      <c r="N16" s="218"/>
      <c r="O16" s="218"/>
      <c r="P16" s="218"/>
      <c r="Q16" s="218"/>
      <c r="R16" s="218"/>
      <c r="S16" s="218"/>
      <c r="T16" s="218"/>
      <c r="U16" s="218"/>
      <c r="V16" s="218"/>
    </row>
    <row r="17" spans="1:22">
      <c r="A17" s="230"/>
      <c r="B17" s="230"/>
      <c r="C17" s="231"/>
      <c r="D17" s="231"/>
      <c r="E17" s="233" t="str">
        <f t="shared" si="0"/>
        <v/>
      </c>
      <c r="F17" s="441">
        <f t="shared" si="1"/>
        <v>0</v>
      </c>
      <c r="G17" s="441"/>
      <c r="H17" s="228">
        <f t="shared" si="2"/>
        <v>0</v>
      </c>
      <c r="I17" s="218"/>
      <c r="J17" s="218"/>
      <c r="K17" s="218"/>
      <c r="L17" s="218"/>
      <c r="M17" s="218"/>
      <c r="N17" s="218"/>
      <c r="O17" s="218"/>
      <c r="P17" s="218"/>
      <c r="Q17" s="218"/>
      <c r="R17" s="218"/>
      <c r="S17" s="218"/>
      <c r="T17" s="218"/>
      <c r="U17" s="218"/>
      <c r="V17" s="218"/>
    </row>
    <row r="18" spans="1:22">
      <c r="A18" s="230"/>
      <c r="B18" s="230"/>
      <c r="C18" s="231"/>
      <c r="D18" s="231"/>
      <c r="E18" s="233" t="str">
        <f t="shared" si="0"/>
        <v/>
      </c>
      <c r="F18" s="441">
        <f t="shared" si="1"/>
        <v>0</v>
      </c>
      <c r="G18" s="441"/>
      <c r="H18" s="228">
        <f t="shared" si="2"/>
        <v>0</v>
      </c>
      <c r="I18" s="218"/>
      <c r="J18" s="218"/>
      <c r="K18" s="218"/>
      <c r="L18" s="218"/>
      <c r="M18" s="218"/>
      <c r="N18" s="218"/>
      <c r="O18" s="218"/>
      <c r="P18" s="218"/>
      <c r="Q18" s="218"/>
      <c r="R18" s="218"/>
      <c r="S18" s="218"/>
      <c r="T18" s="218"/>
      <c r="U18" s="218"/>
      <c r="V18" s="218"/>
    </row>
    <row r="19" spans="1:22">
      <c r="A19" s="230"/>
      <c r="B19" s="230"/>
      <c r="C19" s="231"/>
      <c r="D19" s="231"/>
      <c r="E19" s="233" t="str">
        <f t="shared" si="0"/>
        <v/>
      </c>
      <c r="F19" s="441">
        <f t="shared" si="1"/>
        <v>0</v>
      </c>
      <c r="G19" s="441"/>
      <c r="H19" s="228">
        <f t="shared" si="2"/>
        <v>0</v>
      </c>
      <c r="I19" s="218"/>
      <c r="J19" s="218"/>
      <c r="K19" s="218"/>
      <c r="L19" s="218"/>
      <c r="M19" s="218"/>
      <c r="N19" s="218"/>
      <c r="O19" s="218"/>
      <c r="P19" s="218"/>
      <c r="Q19" s="218"/>
      <c r="R19" s="218"/>
      <c r="S19" s="218"/>
      <c r="T19" s="218"/>
      <c r="U19" s="218"/>
      <c r="V19" s="218"/>
    </row>
    <row r="20" spans="1:22">
      <c r="A20" s="230"/>
      <c r="B20" s="230"/>
      <c r="C20" s="231"/>
      <c r="D20" s="231"/>
      <c r="E20" s="233" t="str">
        <f t="shared" si="0"/>
        <v/>
      </c>
      <c r="F20" s="441">
        <f t="shared" si="1"/>
        <v>0</v>
      </c>
      <c r="G20" s="441"/>
      <c r="H20" s="228">
        <f t="shared" si="2"/>
        <v>0</v>
      </c>
      <c r="I20" s="218"/>
      <c r="J20" s="218"/>
      <c r="K20" s="218"/>
      <c r="L20" s="218"/>
      <c r="M20" s="218"/>
      <c r="N20" s="218"/>
      <c r="O20" s="218"/>
      <c r="P20" s="218"/>
      <c r="Q20" s="218"/>
      <c r="R20" s="218"/>
      <c r="S20" s="218"/>
      <c r="T20" s="218"/>
      <c r="U20" s="218"/>
      <c r="V20" s="218"/>
    </row>
    <row r="21" spans="1:22">
      <c r="A21" s="442" t="s">
        <v>315</v>
      </c>
      <c r="B21" s="442"/>
      <c r="C21" s="442"/>
      <c r="D21" s="442"/>
      <c r="E21" s="442"/>
      <c r="F21" s="442"/>
      <c r="G21" s="442"/>
      <c r="H21" s="442"/>
      <c r="I21" s="219"/>
      <c r="J21" s="218"/>
      <c r="K21" s="218"/>
      <c r="L21" s="218"/>
      <c r="M21" s="218"/>
      <c r="N21" s="218"/>
      <c r="O21" s="218"/>
      <c r="P21" s="218"/>
      <c r="Q21" s="218"/>
      <c r="R21" s="218"/>
      <c r="S21" s="218"/>
      <c r="T21" s="218"/>
      <c r="U21" s="218"/>
      <c r="V21" s="218"/>
    </row>
    <row r="22" spans="1:22">
      <c r="A22" s="222" t="s">
        <v>308</v>
      </c>
      <c r="B22" s="443"/>
      <c r="C22" s="443"/>
      <c r="D22" s="443"/>
      <c r="E22" s="443"/>
      <c r="F22" s="443"/>
      <c r="G22" s="443"/>
      <c r="H22" s="223">
        <f>SUM(H2:H20)</f>
        <v>0</v>
      </c>
      <c r="I22" s="218"/>
      <c r="J22" s="218"/>
      <c r="K22" s="218"/>
      <c r="L22" s="218"/>
      <c r="M22" s="218"/>
      <c r="N22" s="218"/>
      <c r="O22" s="218"/>
      <c r="P22" s="218"/>
      <c r="Q22" s="218"/>
      <c r="R22" s="218"/>
      <c r="S22" s="218"/>
      <c r="T22" s="218"/>
      <c r="U22" s="218"/>
      <c r="V22" s="218"/>
    </row>
    <row r="23" spans="1:22">
      <c r="A23" s="222" t="s">
        <v>313</v>
      </c>
      <c r="B23" s="227"/>
      <c r="C23" s="444"/>
      <c r="D23" s="445"/>
      <c r="E23" s="445"/>
      <c r="F23" s="445"/>
      <c r="G23" s="445"/>
      <c r="H23" s="223">
        <f>H22*B23</f>
        <v>0</v>
      </c>
      <c r="I23" s="218"/>
      <c r="J23" s="218"/>
      <c r="K23" s="218"/>
      <c r="L23" s="218"/>
      <c r="M23" s="218"/>
      <c r="N23" s="218"/>
      <c r="O23" s="218"/>
      <c r="P23" s="218"/>
      <c r="Q23" s="218"/>
      <c r="R23" s="218"/>
      <c r="S23" s="218"/>
      <c r="T23" s="218"/>
      <c r="U23" s="218"/>
      <c r="V23" s="218"/>
    </row>
    <row r="24" spans="1:22">
      <c r="A24" s="222" t="s">
        <v>314</v>
      </c>
      <c r="B24" s="227"/>
      <c r="C24" s="444"/>
      <c r="D24" s="445"/>
      <c r="E24" s="445"/>
      <c r="F24" s="445"/>
      <c r="G24" s="445"/>
      <c r="H24" s="223">
        <f>H22*B24</f>
        <v>0</v>
      </c>
      <c r="I24" s="218"/>
      <c r="J24" s="218"/>
      <c r="K24" s="218"/>
      <c r="L24" s="218"/>
      <c r="M24" s="218"/>
      <c r="N24" s="218"/>
      <c r="O24" s="218"/>
      <c r="P24" s="218"/>
      <c r="Q24" s="218"/>
      <c r="R24" s="218"/>
      <c r="S24" s="218"/>
      <c r="T24" s="218"/>
      <c r="U24" s="218"/>
      <c r="V24" s="218"/>
    </row>
    <row r="25" spans="1:22">
      <c r="A25" s="222" t="s">
        <v>310</v>
      </c>
      <c r="B25" s="443"/>
      <c r="C25" s="443"/>
      <c r="D25" s="443"/>
      <c r="E25" s="443"/>
      <c r="F25" s="443"/>
      <c r="G25" s="443"/>
      <c r="H25" s="75"/>
      <c r="I25" s="218"/>
      <c r="J25" s="218"/>
      <c r="K25" s="218"/>
      <c r="L25" s="218"/>
      <c r="M25" s="218"/>
      <c r="N25" s="218"/>
      <c r="O25" s="218"/>
      <c r="P25" s="218"/>
      <c r="Q25" s="218"/>
      <c r="R25" s="218"/>
      <c r="S25" s="218"/>
      <c r="T25" s="218"/>
      <c r="U25" s="218"/>
      <c r="V25" s="218"/>
    </row>
    <row r="26" spans="1:22">
      <c r="A26" s="222" t="s">
        <v>311</v>
      </c>
      <c r="B26" s="443"/>
      <c r="C26" s="443"/>
      <c r="D26" s="443"/>
      <c r="E26" s="443"/>
      <c r="F26" s="443"/>
      <c r="G26" s="443"/>
      <c r="H26" s="75"/>
      <c r="I26" s="218"/>
      <c r="J26" s="218"/>
      <c r="K26" s="218"/>
      <c r="L26" s="218"/>
      <c r="M26" s="218"/>
      <c r="N26" s="218"/>
      <c r="O26" s="218"/>
      <c r="P26" s="218"/>
      <c r="Q26" s="218"/>
      <c r="R26" s="218"/>
      <c r="S26" s="218"/>
      <c r="T26" s="218"/>
      <c r="U26" s="218"/>
      <c r="V26" s="218"/>
    </row>
    <row r="27" spans="1:22">
      <c r="A27" s="224" t="s">
        <v>312</v>
      </c>
      <c r="B27" s="440"/>
      <c r="C27" s="440"/>
      <c r="D27" s="440"/>
      <c r="E27" s="440"/>
      <c r="F27" s="440"/>
      <c r="G27" s="440"/>
      <c r="H27" s="75"/>
      <c r="I27" s="218"/>
      <c r="J27" s="218"/>
      <c r="K27" s="218"/>
      <c r="L27" s="218"/>
      <c r="M27" s="218"/>
      <c r="N27" s="218"/>
      <c r="O27" s="218"/>
      <c r="P27" s="218"/>
      <c r="Q27" s="218"/>
      <c r="R27" s="218"/>
      <c r="S27" s="218"/>
      <c r="T27" s="218"/>
      <c r="U27" s="218"/>
      <c r="V27" s="218"/>
    </row>
    <row r="28" spans="1:22">
      <c r="A28" s="220" t="s">
        <v>309</v>
      </c>
      <c r="B28" s="382"/>
      <c r="C28" s="382"/>
      <c r="D28" s="382"/>
      <c r="E28" s="382"/>
      <c r="F28" s="382"/>
      <c r="G28" s="382"/>
      <c r="H28" s="221">
        <f>H22+H23+H24+H25+H26+H27</f>
        <v>0</v>
      </c>
      <c r="I28" s="218"/>
      <c r="J28" s="218"/>
      <c r="K28" s="218"/>
      <c r="L28" s="218"/>
      <c r="M28" s="218"/>
      <c r="N28" s="218"/>
      <c r="O28" s="218"/>
      <c r="P28" s="218"/>
      <c r="Q28" s="218"/>
      <c r="R28" s="218"/>
      <c r="S28" s="218"/>
      <c r="T28" s="218"/>
      <c r="U28" s="218"/>
      <c r="V28" s="218"/>
    </row>
    <row r="29" spans="1:22">
      <c r="A29" s="218"/>
      <c r="B29" s="218"/>
      <c r="C29" s="218"/>
      <c r="D29" s="218"/>
      <c r="E29" s="218"/>
      <c r="F29" s="218"/>
      <c r="G29" s="218"/>
      <c r="H29" s="218"/>
      <c r="I29" s="218"/>
      <c r="J29" s="218"/>
      <c r="K29" s="218"/>
      <c r="L29" s="218"/>
      <c r="M29" s="218"/>
      <c r="N29" s="218"/>
      <c r="O29" s="218"/>
      <c r="P29" s="218"/>
      <c r="Q29" s="218"/>
      <c r="R29" s="218"/>
      <c r="S29" s="218"/>
      <c r="T29" s="218"/>
      <c r="U29" s="218"/>
      <c r="V29" s="218"/>
    </row>
    <row r="30" spans="1:22">
      <c r="A30" s="225"/>
      <c r="B30" s="225"/>
      <c r="C30" s="218"/>
      <c r="D30" s="218"/>
      <c r="E30" s="218"/>
      <c r="F30" s="218"/>
      <c r="G30" s="218"/>
      <c r="H30" s="218"/>
      <c r="I30" s="218"/>
      <c r="J30" s="218"/>
      <c r="K30" s="218"/>
      <c r="L30" s="218"/>
      <c r="M30" s="218"/>
      <c r="N30" s="218"/>
      <c r="O30" s="218"/>
      <c r="P30" s="218"/>
      <c r="Q30" s="218"/>
      <c r="R30" s="218"/>
      <c r="S30" s="218"/>
      <c r="T30" s="218"/>
      <c r="U30" s="218"/>
      <c r="V30" s="218"/>
    </row>
    <row r="31" spans="1:22">
      <c r="A31" s="225"/>
      <c r="B31" s="225"/>
      <c r="C31" s="218"/>
      <c r="D31" s="218"/>
      <c r="E31" s="218"/>
      <c r="F31" s="218"/>
      <c r="G31" s="218"/>
      <c r="H31" s="218"/>
      <c r="I31" s="218"/>
      <c r="J31" s="218"/>
      <c r="K31" s="218"/>
      <c r="L31" s="218"/>
      <c r="M31" s="218"/>
      <c r="N31" s="218"/>
      <c r="O31" s="218"/>
      <c r="P31" s="218"/>
      <c r="Q31" s="218"/>
      <c r="R31" s="218"/>
      <c r="S31" s="218"/>
      <c r="T31" s="218"/>
      <c r="U31" s="218"/>
      <c r="V31" s="218"/>
    </row>
    <row r="32" spans="1:22">
      <c r="A32" s="225"/>
      <c r="B32" s="225"/>
      <c r="C32" s="218"/>
      <c r="D32" s="218"/>
      <c r="E32" s="218"/>
      <c r="F32" s="218"/>
      <c r="G32" s="218"/>
      <c r="H32" s="218"/>
      <c r="I32" s="218"/>
      <c r="J32" s="218"/>
      <c r="K32" s="218"/>
      <c r="L32" s="218"/>
      <c r="M32" s="218"/>
      <c r="N32" s="218"/>
      <c r="O32" s="218"/>
      <c r="P32" s="218"/>
      <c r="Q32" s="218"/>
      <c r="R32" s="218"/>
      <c r="S32" s="218"/>
      <c r="T32" s="218"/>
      <c r="U32" s="218"/>
      <c r="V32" s="218"/>
    </row>
    <row r="33" spans="1:22">
      <c r="A33" s="225"/>
      <c r="B33" s="225"/>
      <c r="C33" s="218"/>
      <c r="D33" s="218"/>
      <c r="E33" s="218"/>
      <c r="F33" s="218"/>
      <c r="G33" s="218"/>
      <c r="H33" s="218"/>
      <c r="I33" s="218"/>
      <c r="J33" s="218"/>
      <c r="K33" s="218"/>
      <c r="L33" s="218"/>
      <c r="M33" s="218"/>
      <c r="N33" s="218"/>
      <c r="O33" s="218"/>
      <c r="P33" s="218"/>
      <c r="Q33" s="218"/>
      <c r="R33" s="218"/>
      <c r="S33" s="218"/>
      <c r="T33" s="218"/>
      <c r="U33" s="218"/>
      <c r="V33" s="218"/>
    </row>
    <row r="34" spans="1:22">
      <c r="A34" s="225"/>
      <c r="B34" s="225"/>
      <c r="C34" s="218"/>
      <c r="D34" s="218"/>
      <c r="E34" s="218"/>
      <c r="F34" s="218"/>
      <c r="G34" s="218"/>
      <c r="H34" s="218"/>
      <c r="I34" s="218"/>
      <c r="J34" s="218"/>
      <c r="K34" s="218"/>
      <c r="L34" s="218"/>
      <c r="M34" s="218"/>
      <c r="N34" s="218"/>
      <c r="O34" s="218"/>
      <c r="P34" s="218"/>
      <c r="Q34" s="218"/>
      <c r="R34" s="218"/>
      <c r="S34" s="218"/>
      <c r="T34" s="218"/>
      <c r="U34" s="218"/>
      <c r="V34" s="218"/>
    </row>
    <row r="35" spans="1:22">
      <c r="A35" s="225"/>
      <c r="B35" s="225"/>
      <c r="C35" s="218"/>
      <c r="D35" s="218"/>
      <c r="E35" s="218"/>
      <c r="F35" s="218"/>
      <c r="G35" s="218"/>
      <c r="H35" s="218"/>
      <c r="I35" s="218"/>
      <c r="J35" s="218"/>
      <c r="K35" s="218"/>
      <c r="L35" s="218"/>
      <c r="M35" s="218"/>
      <c r="N35" s="218"/>
      <c r="O35" s="218"/>
      <c r="P35" s="218"/>
      <c r="Q35" s="218"/>
      <c r="R35" s="218"/>
      <c r="S35" s="218"/>
      <c r="T35" s="218"/>
      <c r="U35" s="218"/>
      <c r="V35" s="218"/>
    </row>
    <row r="36" spans="1:22">
      <c r="A36" s="225"/>
      <c r="B36" s="225"/>
      <c r="C36" s="218"/>
      <c r="D36" s="218"/>
      <c r="E36" s="218"/>
      <c r="F36" s="218"/>
      <c r="G36" s="218"/>
      <c r="H36" s="218"/>
      <c r="I36" s="218"/>
      <c r="J36" s="218"/>
      <c r="K36" s="218"/>
      <c r="L36" s="218"/>
      <c r="M36" s="218"/>
      <c r="N36" s="218"/>
      <c r="O36" s="218"/>
      <c r="P36" s="218"/>
      <c r="Q36" s="218"/>
      <c r="R36" s="218"/>
      <c r="S36" s="218"/>
      <c r="T36" s="218"/>
      <c r="U36" s="218"/>
      <c r="V36" s="218"/>
    </row>
    <row r="37" spans="1:22">
      <c r="A37" s="225"/>
      <c r="B37" s="225"/>
      <c r="C37" s="218"/>
      <c r="D37" s="218"/>
      <c r="E37" s="218"/>
      <c r="F37" s="218"/>
      <c r="G37" s="218"/>
      <c r="H37" s="218"/>
      <c r="I37" s="218"/>
      <c r="J37" s="218"/>
      <c r="K37" s="218"/>
      <c r="L37" s="218"/>
      <c r="M37" s="218"/>
      <c r="N37" s="218"/>
      <c r="O37" s="218"/>
      <c r="P37" s="218"/>
      <c r="Q37" s="218"/>
      <c r="R37" s="218"/>
      <c r="S37" s="218"/>
      <c r="T37" s="218"/>
      <c r="U37" s="218"/>
      <c r="V37" s="218"/>
    </row>
    <row r="38" spans="1:22">
      <c r="A38" s="225"/>
      <c r="B38" s="225"/>
      <c r="C38" s="218"/>
      <c r="D38" s="218"/>
      <c r="E38" s="218"/>
      <c r="F38" s="218"/>
      <c r="G38" s="218"/>
      <c r="H38" s="218"/>
      <c r="I38" s="218"/>
      <c r="J38" s="218"/>
      <c r="K38" s="218"/>
      <c r="L38" s="218"/>
      <c r="M38" s="218"/>
      <c r="N38" s="218"/>
      <c r="O38" s="218"/>
      <c r="P38" s="218"/>
      <c r="Q38" s="218"/>
      <c r="R38" s="218"/>
      <c r="S38" s="218"/>
      <c r="T38" s="218"/>
      <c r="U38" s="218"/>
      <c r="V38" s="218"/>
    </row>
    <row r="39" spans="1:22">
      <c r="A39" s="225"/>
      <c r="B39" s="225"/>
      <c r="C39" s="218"/>
      <c r="D39" s="218"/>
      <c r="E39" s="218"/>
      <c r="F39" s="218"/>
      <c r="G39" s="218"/>
      <c r="H39" s="218"/>
      <c r="I39" s="218"/>
      <c r="J39" s="218"/>
      <c r="K39" s="218"/>
      <c r="L39" s="218"/>
      <c r="M39" s="218"/>
      <c r="N39" s="218"/>
      <c r="O39" s="218"/>
      <c r="P39" s="218"/>
      <c r="Q39" s="218"/>
      <c r="R39" s="218"/>
      <c r="S39" s="218"/>
      <c r="T39" s="218"/>
      <c r="U39" s="218"/>
      <c r="V39" s="218"/>
    </row>
    <row r="40" spans="1:22">
      <c r="A40" s="225"/>
      <c r="B40" s="225"/>
      <c r="C40" s="218"/>
      <c r="D40" s="218"/>
      <c r="E40" s="218"/>
      <c r="F40" s="218"/>
      <c r="G40" s="218"/>
      <c r="H40" s="218"/>
      <c r="I40" s="218"/>
      <c r="J40" s="218"/>
      <c r="K40" s="218"/>
      <c r="L40" s="218"/>
      <c r="M40" s="218"/>
      <c r="N40" s="218"/>
      <c r="O40" s="218"/>
      <c r="P40" s="218"/>
      <c r="Q40" s="218"/>
      <c r="R40" s="218"/>
      <c r="S40" s="218"/>
      <c r="T40" s="218"/>
      <c r="U40" s="218"/>
      <c r="V40" s="218"/>
    </row>
    <row r="41" spans="1:22">
      <c r="A41" s="225"/>
      <c r="B41" s="225"/>
      <c r="C41" s="218"/>
      <c r="D41" s="218"/>
      <c r="E41" s="218"/>
      <c r="F41" s="218"/>
      <c r="G41" s="218"/>
      <c r="H41" s="218"/>
      <c r="I41" s="218"/>
      <c r="J41" s="218"/>
      <c r="K41" s="218"/>
      <c r="L41" s="218"/>
      <c r="M41" s="218"/>
      <c r="N41" s="218"/>
      <c r="O41" s="218"/>
      <c r="P41" s="218"/>
      <c r="Q41" s="218"/>
      <c r="R41" s="218"/>
      <c r="S41" s="218"/>
      <c r="T41" s="218"/>
      <c r="U41" s="218"/>
      <c r="V41" s="218"/>
    </row>
    <row r="42" spans="1:22">
      <c r="A42" s="225"/>
      <c r="B42" s="225"/>
      <c r="C42" s="218"/>
      <c r="D42" s="218"/>
      <c r="E42" s="218"/>
      <c r="F42" s="218"/>
      <c r="G42" s="218"/>
      <c r="H42" s="218"/>
      <c r="I42" s="218"/>
      <c r="J42" s="218"/>
      <c r="K42" s="218"/>
      <c r="L42" s="218"/>
      <c r="M42" s="218"/>
      <c r="N42" s="218"/>
      <c r="O42" s="218"/>
      <c r="P42" s="218"/>
      <c r="Q42" s="218"/>
      <c r="R42" s="218"/>
      <c r="S42" s="218"/>
      <c r="T42" s="218"/>
      <c r="U42" s="218"/>
      <c r="V42" s="218"/>
    </row>
    <row r="43" spans="1:22">
      <c r="A43" s="225"/>
      <c r="B43" s="225"/>
      <c r="C43" s="218"/>
      <c r="D43" s="218"/>
      <c r="E43" s="218"/>
      <c r="F43" s="218"/>
      <c r="G43" s="218"/>
      <c r="H43" s="218"/>
      <c r="I43" s="218"/>
      <c r="J43" s="218"/>
      <c r="K43" s="218"/>
      <c r="L43" s="218"/>
      <c r="M43" s="218"/>
      <c r="N43" s="218"/>
      <c r="O43" s="218"/>
      <c r="P43" s="218"/>
      <c r="Q43" s="218"/>
      <c r="R43" s="218"/>
      <c r="S43" s="218"/>
      <c r="T43" s="218"/>
      <c r="U43" s="218"/>
      <c r="V43" s="218"/>
    </row>
    <row r="44" spans="1:22">
      <c r="A44" s="225"/>
      <c r="B44" s="225"/>
      <c r="C44" s="218"/>
      <c r="D44" s="218"/>
      <c r="E44" s="218"/>
      <c r="F44" s="218"/>
      <c r="G44" s="218"/>
      <c r="H44" s="218"/>
      <c r="I44" s="218"/>
      <c r="J44" s="218"/>
      <c r="K44" s="218"/>
      <c r="L44" s="218"/>
      <c r="M44" s="218"/>
      <c r="N44" s="218"/>
      <c r="O44" s="218"/>
      <c r="P44" s="218"/>
      <c r="Q44" s="218"/>
      <c r="R44" s="218"/>
      <c r="S44" s="218"/>
      <c r="T44" s="218"/>
      <c r="U44" s="218"/>
      <c r="V44" s="218"/>
    </row>
    <row r="45" spans="1:22">
      <c r="A45" s="225"/>
      <c r="B45" s="225"/>
      <c r="C45" s="218"/>
      <c r="D45" s="218"/>
      <c r="E45" s="218"/>
      <c r="F45" s="218"/>
      <c r="G45" s="218"/>
      <c r="H45" s="218"/>
      <c r="I45" s="218"/>
      <c r="J45" s="218"/>
      <c r="K45" s="218"/>
      <c r="L45" s="218"/>
      <c r="M45" s="218"/>
      <c r="N45" s="218"/>
      <c r="O45" s="218"/>
      <c r="P45" s="218"/>
      <c r="Q45" s="218"/>
      <c r="R45" s="218"/>
      <c r="S45" s="218"/>
      <c r="T45" s="218"/>
      <c r="U45" s="218"/>
      <c r="V45" s="218"/>
    </row>
    <row r="46" spans="1:22">
      <c r="A46" s="225"/>
      <c r="B46" s="225"/>
      <c r="C46" s="218"/>
      <c r="D46" s="218"/>
      <c r="E46" s="218"/>
      <c r="F46" s="218"/>
      <c r="G46" s="218"/>
      <c r="H46" s="218"/>
      <c r="I46" s="218"/>
      <c r="J46" s="218"/>
      <c r="K46" s="218"/>
      <c r="L46" s="218"/>
      <c r="M46" s="218"/>
      <c r="N46" s="218"/>
      <c r="O46" s="218"/>
      <c r="P46" s="218"/>
      <c r="Q46" s="218"/>
      <c r="R46" s="218"/>
      <c r="S46" s="218"/>
      <c r="T46" s="218"/>
      <c r="U46" s="218"/>
      <c r="V46" s="218"/>
    </row>
    <row r="47" spans="1:22">
      <c r="A47" s="225"/>
      <c r="B47" s="225"/>
      <c r="C47" s="218"/>
      <c r="D47" s="218"/>
      <c r="E47" s="218"/>
      <c r="F47" s="218"/>
      <c r="G47" s="218"/>
      <c r="H47" s="218"/>
      <c r="I47" s="218"/>
      <c r="J47" s="218"/>
      <c r="K47" s="218"/>
      <c r="L47" s="218"/>
      <c r="M47" s="218"/>
      <c r="N47" s="218"/>
      <c r="O47" s="218"/>
      <c r="P47" s="218"/>
      <c r="Q47" s="218"/>
      <c r="R47" s="218"/>
      <c r="S47" s="218"/>
      <c r="T47" s="218"/>
      <c r="U47" s="218"/>
      <c r="V47" s="218"/>
    </row>
    <row r="48" spans="1:22">
      <c r="A48" s="225"/>
      <c r="B48" s="225"/>
      <c r="C48" s="218"/>
      <c r="D48" s="218"/>
      <c r="E48" s="218"/>
      <c r="F48" s="218"/>
      <c r="G48" s="218"/>
      <c r="H48" s="218"/>
      <c r="I48" s="218"/>
      <c r="J48" s="218"/>
      <c r="K48" s="218"/>
      <c r="L48" s="218"/>
      <c r="M48" s="218"/>
      <c r="N48" s="218"/>
      <c r="O48" s="218"/>
      <c r="P48" s="218"/>
      <c r="Q48" s="218"/>
      <c r="R48" s="218"/>
      <c r="S48" s="218"/>
      <c r="T48" s="218"/>
      <c r="U48" s="218"/>
      <c r="V48" s="218"/>
    </row>
    <row r="49" spans="1:22">
      <c r="A49" s="215"/>
      <c r="B49" s="215"/>
      <c r="I49" s="218"/>
      <c r="J49" s="218"/>
      <c r="K49" s="218"/>
      <c r="L49" s="218"/>
      <c r="M49" s="218"/>
      <c r="N49" s="218"/>
      <c r="O49" s="218"/>
      <c r="P49" s="218"/>
      <c r="Q49" s="218"/>
      <c r="R49" s="218"/>
      <c r="S49" s="218"/>
      <c r="T49" s="218"/>
      <c r="U49" s="218"/>
      <c r="V49" s="218"/>
    </row>
    <row r="50" spans="1:22">
      <c r="A50" s="215"/>
      <c r="B50" s="215"/>
      <c r="I50" s="218"/>
      <c r="J50" s="218"/>
      <c r="K50" s="218"/>
      <c r="L50" s="218"/>
      <c r="M50" s="218"/>
      <c r="N50" s="218"/>
      <c r="O50" s="218"/>
      <c r="P50" s="218"/>
      <c r="Q50" s="218"/>
      <c r="R50" s="218"/>
      <c r="S50" s="218"/>
      <c r="T50" s="218"/>
      <c r="U50" s="218"/>
      <c r="V50" s="218"/>
    </row>
    <row r="51" spans="1:22">
      <c r="A51" s="215"/>
      <c r="B51" s="215"/>
      <c r="I51" s="218"/>
      <c r="J51" s="218"/>
      <c r="K51" s="218"/>
      <c r="L51" s="218"/>
      <c r="M51" s="218"/>
      <c r="N51" s="218"/>
      <c r="O51" s="218"/>
      <c r="P51" s="218"/>
      <c r="Q51" s="218"/>
      <c r="R51" s="218"/>
      <c r="S51" s="218"/>
      <c r="T51" s="218"/>
      <c r="U51" s="218"/>
      <c r="V51" s="218"/>
    </row>
    <row r="52" spans="1:22">
      <c r="A52" s="215"/>
      <c r="B52" s="215"/>
      <c r="I52" s="218"/>
      <c r="J52" s="218"/>
      <c r="K52" s="218"/>
      <c r="L52" s="218"/>
      <c r="M52" s="218"/>
      <c r="N52" s="218"/>
      <c r="O52" s="218"/>
      <c r="P52" s="218"/>
      <c r="Q52" s="218"/>
      <c r="R52" s="218"/>
      <c r="S52" s="218"/>
      <c r="T52" s="218"/>
      <c r="U52" s="218"/>
      <c r="V52" s="218"/>
    </row>
    <row r="53" spans="1:22">
      <c r="A53" s="215"/>
      <c r="B53" s="215"/>
      <c r="I53" s="218"/>
      <c r="J53" s="218"/>
      <c r="K53" s="218"/>
      <c r="L53" s="218"/>
      <c r="M53" s="218"/>
      <c r="N53" s="218"/>
      <c r="O53" s="218"/>
      <c r="P53" s="218"/>
      <c r="Q53" s="218"/>
      <c r="R53" s="218"/>
      <c r="S53" s="218"/>
      <c r="T53" s="218"/>
      <c r="U53" s="218"/>
      <c r="V53" s="218"/>
    </row>
    <row r="54" spans="1:22">
      <c r="A54" s="215"/>
      <c r="B54" s="215"/>
      <c r="I54" s="218"/>
      <c r="J54" s="218"/>
      <c r="K54" s="218"/>
      <c r="L54" s="218"/>
      <c r="M54" s="218"/>
      <c r="N54" s="218"/>
      <c r="O54" s="218"/>
      <c r="P54" s="218"/>
      <c r="Q54" s="218"/>
      <c r="R54" s="218"/>
      <c r="S54" s="218"/>
      <c r="T54" s="218"/>
      <c r="U54" s="218"/>
      <c r="V54" s="218"/>
    </row>
    <row r="55" spans="1:22">
      <c r="A55" s="215"/>
      <c r="B55" s="215"/>
      <c r="I55" s="218"/>
      <c r="J55" s="218"/>
      <c r="K55" s="218"/>
      <c r="L55" s="218"/>
      <c r="M55" s="218"/>
      <c r="N55" s="218"/>
      <c r="O55" s="218"/>
      <c r="P55" s="218"/>
      <c r="Q55" s="218"/>
      <c r="R55" s="218"/>
      <c r="S55" s="218"/>
      <c r="T55" s="218"/>
      <c r="U55" s="218"/>
      <c r="V55" s="218"/>
    </row>
    <row r="56" spans="1:22">
      <c r="A56" s="215"/>
      <c r="B56" s="215"/>
      <c r="I56" s="218"/>
      <c r="J56" s="218"/>
      <c r="K56" s="218"/>
      <c r="L56" s="218"/>
      <c r="M56" s="218"/>
      <c r="N56" s="218"/>
      <c r="O56" s="218"/>
      <c r="P56" s="218"/>
      <c r="Q56" s="218"/>
      <c r="R56" s="218"/>
      <c r="S56" s="218"/>
      <c r="T56" s="218"/>
      <c r="U56" s="218"/>
      <c r="V56" s="218"/>
    </row>
    <row r="57" spans="1:22">
      <c r="A57" s="215"/>
      <c r="B57" s="215"/>
      <c r="I57" s="218"/>
      <c r="J57" s="218"/>
      <c r="K57" s="218"/>
      <c r="L57" s="218"/>
      <c r="M57" s="218"/>
      <c r="N57" s="218"/>
      <c r="O57" s="218"/>
      <c r="P57" s="218"/>
      <c r="Q57" s="218"/>
      <c r="R57" s="218"/>
      <c r="S57" s="218"/>
      <c r="T57" s="218"/>
      <c r="U57" s="218"/>
      <c r="V57" s="218"/>
    </row>
    <row r="58" spans="1:22">
      <c r="A58" s="215"/>
      <c r="B58" s="215"/>
      <c r="I58" s="218"/>
      <c r="J58" s="218"/>
      <c r="K58" s="218"/>
      <c r="L58" s="218"/>
      <c r="M58" s="218"/>
      <c r="N58" s="218"/>
      <c r="O58" s="218"/>
      <c r="P58" s="218"/>
      <c r="Q58" s="218"/>
      <c r="R58" s="218"/>
      <c r="S58" s="218"/>
      <c r="T58" s="218"/>
      <c r="U58" s="218"/>
      <c r="V58" s="218"/>
    </row>
    <row r="59" spans="1:22">
      <c r="A59" s="215"/>
      <c r="B59" s="215"/>
      <c r="I59" s="218"/>
      <c r="J59" s="218"/>
      <c r="K59" s="218"/>
      <c r="L59" s="218"/>
      <c r="M59" s="218"/>
      <c r="N59" s="218"/>
      <c r="O59" s="218"/>
      <c r="P59" s="218"/>
      <c r="Q59" s="218"/>
      <c r="R59" s="218"/>
      <c r="S59" s="218"/>
      <c r="T59" s="218"/>
      <c r="U59" s="218"/>
      <c r="V59" s="218"/>
    </row>
    <row r="60" spans="1:22">
      <c r="A60" s="215"/>
      <c r="B60" s="215"/>
      <c r="I60" s="218"/>
      <c r="J60" s="218"/>
      <c r="K60" s="218"/>
      <c r="L60" s="218"/>
      <c r="M60" s="218"/>
      <c r="N60" s="218"/>
      <c r="O60" s="218"/>
      <c r="P60" s="218"/>
      <c r="Q60" s="218"/>
      <c r="R60" s="218"/>
      <c r="S60" s="218"/>
      <c r="T60" s="218"/>
      <c r="U60" s="218"/>
      <c r="V60" s="218"/>
    </row>
    <row r="61" spans="1:22">
      <c r="A61" s="215"/>
      <c r="B61" s="215"/>
      <c r="I61" s="218"/>
      <c r="J61" s="218"/>
      <c r="K61" s="218"/>
      <c r="L61" s="218"/>
      <c r="M61" s="218"/>
      <c r="N61" s="218"/>
      <c r="O61" s="218"/>
      <c r="P61" s="218"/>
      <c r="Q61" s="218"/>
      <c r="R61" s="218"/>
      <c r="S61" s="218"/>
      <c r="T61" s="218"/>
      <c r="U61" s="218"/>
      <c r="V61" s="218"/>
    </row>
    <row r="62" spans="1:22">
      <c r="A62" s="215"/>
      <c r="B62" s="215"/>
      <c r="I62" s="218"/>
      <c r="J62" s="218"/>
      <c r="K62" s="218"/>
      <c r="L62" s="218"/>
      <c r="M62" s="218"/>
      <c r="N62" s="218"/>
      <c r="O62" s="218"/>
      <c r="P62" s="218"/>
      <c r="Q62" s="218"/>
      <c r="R62" s="218"/>
      <c r="S62" s="218"/>
      <c r="T62" s="218"/>
      <c r="U62" s="218"/>
      <c r="V62" s="218"/>
    </row>
    <row r="63" spans="1:22">
      <c r="A63" s="215"/>
      <c r="B63" s="215"/>
      <c r="I63" s="218"/>
      <c r="J63" s="218"/>
      <c r="K63" s="218"/>
      <c r="L63" s="218"/>
      <c r="M63" s="218"/>
      <c r="N63" s="218"/>
      <c r="O63" s="218"/>
      <c r="P63" s="218"/>
      <c r="Q63" s="218"/>
      <c r="R63" s="218"/>
      <c r="S63" s="218"/>
      <c r="T63" s="218"/>
      <c r="U63" s="218"/>
      <c r="V63" s="218"/>
    </row>
    <row r="64" spans="1:22">
      <c r="A64" s="215"/>
      <c r="B64" s="215"/>
      <c r="I64" s="218"/>
      <c r="J64" s="218"/>
      <c r="K64" s="218"/>
      <c r="L64" s="218"/>
      <c r="M64" s="218"/>
      <c r="N64" s="218"/>
      <c r="O64" s="218"/>
      <c r="P64" s="218"/>
      <c r="Q64" s="218"/>
      <c r="R64" s="218"/>
      <c r="S64" s="218"/>
      <c r="T64" s="218"/>
      <c r="U64" s="218"/>
      <c r="V64" s="218"/>
    </row>
    <row r="65" spans="1:22">
      <c r="A65" s="215"/>
      <c r="B65" s="215"/>
      <c r="I65" s="218"/>
      <c r="J65" s="218"/>
      <c r="K65" s="218"/>
      <c r="L65" s="218"/>
      <c r="M65" s="218"/>
      <c r="N65" s="218"/>
      <c r="O65" s="218"/>
      <c r="P65" s="218"/>
      <c r="Q65" s="218"/>
      <c r="R65" s="218"/>
      <c r="S65" s="218"/>
      <c r="T65" s="218"/>
      <c r="U65" s="218"/>
      <c r="V65" s="218"/>
    </row>
    <row r="66" spans="1:22">
      <c r="A66" s="215"/>
      <c r="B66" s="215"/>
      <c r="I66" s="218"/>
      <c r="J66" s="218"/>
      <c r="K66" s="218"/>
      <c r="L66" s="218"/>
      <c r="M66" s="218"/>
      <c r="N66" s="218"/>
      <c r="O66" s="218"/>
      <c r="P66" s="218"/>
      <c r="Q66" s="218"/>
      <c r="R66" s="218"/>
      <c r="S66" s="218"/>
      <c r="T66" s="218"/>
      <c r="U66" s="218"/>
      <c r="V66" s="218"/>
    </row>
    <row r="67" spans="1:22">
      <c r="A67" s="215"/>
      <c r="B67" s="215"/>
      <c r="I67" s="218"/>
      <c r="J67" s="218"/>
      <c r="K67" s="218"/>
      <c r="L67" s="218"/>
      <c r="M67" s="218"/>
      <c r="N67" s="218"/>
      <c r="O67" s="218"/>
      <c r="P67" s="218"/>
      <c r="Q67" s="218"/>
      <c r="R67" s="218"/>
      <c r="S67" s="218"/>
      <c r="T67" s="218"/>
      <c r="U67" s="218"/>
      <c r="V67" s="218"/>
    </row>
    <row r="68" spans="1:22">
      <c r="A68" s="215"/>
      <c r="B68" s="215"/>
      <c r="I68" s="218"/>
      <c r="J68" s="218"/>
      <c r="K68" s="218"/>
      <c r="L68" s="218"/>
      <c r="M68" s="218"/>
      <c r="N68" s="218"/>
      <c r="O68" s="218"/>
      <c r="P68" s="218"/>
      <c r="Q68" s="218"/>
      <c r="R68" s="218"/>
      <c r="S68" s="218"/>
      <c r="T68" s="218"/>
      <c r="U68" s="218"/>
      <c r="V68" s="218"/>
    </row>
    <row r="69" spans="1:22">
      <c r="A69" s="215"/>
      <c r="B69" s="215"/>
      <c r="I69" s="218"/>
      <c r="J69" s="218"/>
      <c r="K69" s="218"/>
      <c r="L69" s="218"/>
      <c r="M69" s="218"/>
      <c r="N69" s="218"/>
      <c r="O69" s="218"/>
      <c r="P69" s="218"/>
      <c r="Q69" s="218"/>
      <c r="R69" s="218"/>
      <c r="S69" s="218"/>
      <c r="T69" s="218"/>
      <c r="U69" s="218"/>
      <c r="V69" s="218"/>
    </row>
    <row r="70" spans="1:22">
      <c r="A70" s="215"/>
      <c r="B70" s="215"/>
      <c r="I70" s="218"/>
      <c r="J70" s="218"/>
      <c r="K70" s="218"/>
      <c r="L70" s="218"/>
      <c r="M70" s="218"/>
      <c r="N70" s="218"/>
      <c r="O70" s="218"/>
      <c r="P70" s="218"/>
      <c r="Q70" s="218"/>
      <c r="R70" s="218"/>
      <c r="S70" s="218"/>
      <c r="T70" s="218"/>
      <c r="U70" s="218"/>
      <c r="V70" s="218"/>
    </row>
    <row r="71" spans="1:22">
      <c r="A71" s="215"/>
      <c r="B71" s="215"/>
      <c r="I71" s="218"/>
      <c r="J71" s="218"/>
      <c r="K71" s="218"/>
      <c r="L71" s="218"/>
      <c r="M71" s="218"/>
      <c r="N71" s="218"/>
      <c r="O71" s="218"/>
      <c r="P71" s="218"/>
      <c r="Q71" s="218"/>
      <c r="R71" s="218"/>
      <c r="S71" s="218"/>
      <c r="T71" s="218"/>
      <c r="U71" s="218"/>
      <c r="V71" s="218"/>
    </row>
    <row r="72" spans="1:22">
      <c r="A72" s="215"/>
      <c r="B72" s="215"/>
      <c r="I72" s="218"/>
      <c r="J72" s="218"/>
      <c r="K72" s="218"/>
      <c r="L72" s="218"/>
      <c r="M72" s="218"/>
      <c r="N72" s="218"/>
      <c r="O72" s="218"/>
      <c r="P72" s="218"/>
      <c r="Q72" s="218"/>
      <c r="R72" s="218"/>
      <c r="S72" s="218"/>
      <c r="T72" s="218"/>
      <c r="U72" s="218"/>
      <c r="V72" s="218"/>
    </row>
    <row r="73" spans="1:22">
      <c r="A73" s="215"/>
      <c r="B73" s="215"/>
      <c r="I73" s="218"/>
      <c r="J73" s="218"/>
      <c r="K73" s="218"/>
      <c r="L73" s="218"/>
      <c r="M73" s="218"/>
      <c r="N73" s="218"/>
      <c r="O73" s="218"/>
      <c r="P73" s="218"/>
      <c r="Q73" s="218"/>
      <c r="R73" s="218"/>
      <c r="S73" s="218"/>
      <c r="T73" s="218"/>
      <c r="U73" s="218"/>
      <c r="V73" s="218"/>
    </row>
    <row r="74" spans="1:22">
      <c r="A74" s="215"/>
      <c r="B74" s="215"/>
      <c r="I74" s="218"/>
      <c r="J74" s="218"/>
      <c r="K74" s="218"/>
      <c r="L74" s="218"/>
      <c r="M74" s="218"/>
      <c r="N74" s="218"/>
      <c r="O74" s="218"/>
      <c r="P74" s="218"/>
      <c r="Q74" s="218"/>
      <c r="R74" s="218"/>
      <c r="S74" s="218"/>
      <c r="T74" s="218"/>
      <c r="U74" s="218"/>
      <c r="V74" s="218"/>
    </row>
    <row r="75" spans="1:22">
      <c r="A75" s="215"/>
      <c r="B75" s="215"/>
      <c r="I75" s="218"/>
      <c r="J75" s="218"/>
      <c r="K75" s="218"/>
      <c r="L75" s="218"/>
      <c r="M75" s="218"/>
      <c r="N75" s="218"/>
      <c r="O75" s="218"/>
      <c r="P75" s="218"/>
      <c r="Q75" s="218"/>
      <c r="R75" s="218"/>
      <c r="S75" s="218"/>
      <c r="T75" s="218"/>
      <c r="U75" s="218"/>
      <c r="V75" s="218"/>
    </row>
    <row r="76" spans="1:22">
      <c r="A76" s="215"/>
      <c r="B76" s="215"/>
      <c r="I76" s="218"/>
      <c r="J76" s="218"/>
      <c r="K76" s="218"/>
      <c r="L76" s="218"/>
      <c r="M76" s="218"/>
      <c r="N76" s="218"/>
      <c r="O76" s="218"/>
      <c r="P76" s="218"/>
      <c r="Q76" s="218"/>
      <c r="R76" s="218"/>
      <c r="S76" s="218"/>
      <c r="T76" s="218"/>
      <c r="U76" s="218"/>
      <c r="V76" s="218"/>
    </row>
    <row r="77" spans="1:22">
      <c r="A77" s="215"/>
      <c r="B77" s="215"/>
      <c r="I77" s="218"/>
      <c r="J77" s="218"/>
      <c r="K77" s="218"/>
      <c r="L77" s="218"/>
      <c r="M77" s="218"/>
      <c r="N77" s="218"/>
      <c r="O77" s="218"/>
      <c r="P77" s="218"/>
      <c r="Q77" s="218"/>
      <c r="R77" s="218"/>
      <c r="S77" s="218"/>
      <c r="T77" s="218"/>
      <c r="U77" s="218"/>
      <c r="V77" s="218"/>
    </row>
    <row r="78" spans="1:22">
      <c r="A78" s="215"/>
      <c r="B78" s="215"/>
      <c r="I78" s="218"/>
      <c r="J78" s="218"/>
      <c r="K78" s="218"/>
      <c r="L78" s="218"/>
      <c r="M78" s="218"/>
      <c r="N78" s="218"/>
      <c r="O78" s="218"/>
      <c r="P78" s="218"/>
      <c r="Q78" s="218"/>
      <c r="R78" s="218"/>
      <c r="S78" s="218"/>
      <c r="T78" s="218"/>
      <c r="U78" s="218"/>
      <c r="V78" s="218"/>
    </row>
    <row r="79" spans="1:22">
      <c r="A79" s="215"/>
      <c r="B79" s="215"/>
      <c r="I79" s="218"/>
      <c r="J79" s="218"/>
      <c r="K79" s="218"/>
      <c r="L79" s="218"/>
      <c r="M79" s="218"/>
      <c r="N79" s="218"/>
      <c r="O79" s="218"/>
      <c r="P79" s="218"/>
      <c r="Q79" s="218"/>
      <c r="R79" s="218"/>
      <c r="S79" s="218"/>
      <c r="T79" s="218"/>
      <c r="U79" s="218"/>
      <c r="V79" s="218"/>
    </row>
    <row r="80" spans="1:22">
      <c r="A80" s="215"/>
      <c r="B80" s="215"/>
      <c r="I80" s="218"/>
      <c r="J80" s="218"/>
      <c r="K80" s="218"/>
      <c r="L80" s="218"/>
      <c r="M80" s="218"/>
      <c r="N80" s="218"/>
      <c r="O80" s="218"/>
      <c r="P80" s="218"/>
      <c r="Q80" s="218"/>
      <c r="R80" s="218"/>
      <c r="S80" s="218"/>
      <c r="T80" s="218"/>
      <c r="U80" s="218"/>
      <c r="V80" s="218"/>
    </row>
    <row r="81" spans="1:22">
      <c r="A81" s="215"/>
      <c r="B81" s="215"/>
      <c r="I81" s="218"/>
      <c r="J81" s="218"/>
      <c r="K81" s="218"/>
      <c r="L81" s="218"/>
      <c r="M81" s="218"/>
      <c r="N81" s="218"/>
      <c r="O81" s="218"/>
      <c r="P81" s="218"/>
      <c r="Q81" s="218"/>
      <c r="R81" s="218"/>
      <c r="S81" s="218"/>
      <c r="T81" s="218"/>
      <c r="U81" s="218"/>
      <c r="V81" s="218"/>
    </row>
    <row r="82" spans="1:22">
      <c r="A82" s="215"/>
      <c r="B82" s="215"/>
      <c r="I82" s="218"/>
      <c r="J82" s="218"/>
      <c r="K82" s="218"/>
      <c r="L82" s="218"/>
      <c r="M82" s="218"/>
      <c r="N82" s="218"/>
      <c r="O82" s="218"/>
      <c r="P82" s="218"/>
      <c r="Q82" s="218"/>
      <c r="R82" s="218"/>
      <c r="S82" s="218"/>
      <c r="T82" s="218"/>
      <c r="U82" s="218"/>
      <c r="V82" s="218"/>
    </row>
    <row r="83" spans="1:22">
      <c r="A83" s="215"/>
      <c r="B83" s="215"/>
      <c r="I83" s="218"/>
      <c r="J83" s="218"/>
      <c r="K83" s="218"/>
      <c r="L83" s="218"/>
      <c r="M83" s="218"/>
      <c r="N83" s="218"/>
      <c r="O83" s="218"/>
      <c r="P83" s="218"/>
      <c r="Q83" s="218"/>
      <c r="R83" s="218"/>
      <c r="S83" s="218"/>
      <c r="T83" s="218"/>
      <c r="U83" s="218"/>
      <c r="V83" s="218"/>
    </row>
    <row r="84" spans="1:22">
      <c r="A84" s="215"/>
      <c r="B84" s="215"/>
      <c r="I84" s="218"/>
      <c r="J84" s="218"/>
      <c r="K84" s="218"/>
      <c r="L84" s="218"/>
      <c r="M84" s="218"/>
      <c r="N84" s="218"/>
      <c r="O84" s="218"/>
      <c r="P84" s="218"/>
      <c r="Q84" s="218"/>
      <c r="R84" s="218"/>
      <c r="S84" s="218"/>
      <c r="T84" s="218"/>
      <c r="U84" s="218"/>
      <c r="V84" s="218"/>
    </row>
    <row r="85" spans="1:22">
      <c r="A85" s="215"/>
      <c r="B85" s="215"/>
      <c r="I85" s="218"/>
      <c r="J85" s="218"/>
      <c r="K85" s="218"/>
      <c r="L85" s="218"/>
      <c r="M85" s="218"/>
      <c r="N85" s="218"/>
      <c r="O85" s="218"/>
      <c r="P85" s="218"/>
      <c r="Q85" s="218"/>
      <c r="R85" s="218"/>
      <c r="S85" s="218"/>
      <c r="T85" s="218"/>
      <c r="U85" s="218"/>
      <c r="V85" s="218"/>
    </row>
    <row r="86" spans="1:22">
      <c r="A86" s="215"/>
      <c r="B86" s="215"/>
      <c r="I86" s="218"/>
      <c r="J86" s="218"/>
      <c r="K86" s="218"/>
      <c r="L86" s="218"/>
      <c r="M86" s="218"/>
      <c r="N86" s="218"/>
      <c r="O86" s="218"/>
      <c r="P86" s="218"/>
      <c r="Q86" s="218"/>
      <c r="R86" s="218"/>
      <c r="S86" s="218"/>
      <c r="T86" s="218"/>
      <c r="U86" s="218"/>
      <c r="V86" s="218"/>
    </row>
    <row r="87" spans="1:22">
      <c r="A87" s="215"/>
      <c r="B87" s="215"/>
      <c r="I87" s="218"/>
      <c r="J87" s="218"/>
      <c r="K87" s="218"/>
      <c r="L87" s="218"/>
      <c r="M87" s="218"/>
      <c r="N87" s="218"/>
      <c r="O87" s="218"/>
      <c r="P87" s="218"/>
      <c r="Q87" s="218"/>
      <c r="R87" s="218"/>
      <c r="S87" s="218"/>
      <c r="T87" s="218"/>
      <c r="U87" s="218"/>
      <c r="V87" s="218"/>
    </row>
    <row r="88" spans="1:22">
      <c r="A88" s="215"/>
      <c r="B88" s="215"/>
      <c r="I88" s="218"/>
      <c r="J88" s="218"/>
      <c r="K88" s="218"/>
      <c r="L88" s="218"/>
      <c r="M88" s="218"/>
      <c r="N88" s="218"/>
      <c r="O88" s="218"/>
      <c r="P88" s="218"/>
      <c r="Q88" s="218"/>
      <c r="R88" s="218"/>
      <c r="S88" s="218"/>
      <c r="T88" s="218"/>
      <c r="U88" s="218"/>
      <c r="V88" s="218"/>
    </row>
    <row r="89" spans="1:22">
      <c r="A89" s="215"/>
      <c r="B89" s="215"/>
      <c r="I89" s="218"/>
      <c r="J89" s="218"/>
      <c r="K89" s="218"/>
      <c r="L89" s="218"/>
      <c r="M89" s="218"/>
      <c r="N89" s="218"/>
      <c r="O89" s="218"/>
      <c r="P89" s="218"/>
      <c r="Q89" s="218"/>
      <c r="R89" s="218"/>
      <c r="S89" s="218"/>
      <c r="T89" s="218"/>
      <c r="U89" s="218"/>
      <c r="V89" s="218"/>
    </row>
    <row r="90" spans="1:22">
      <c r="A90" s="215"/>
      <c r="B90" s="215"/>
      <c r="I90" s="218"/>
      <c r="J90" s="218"/>
      <c r="K90" s="218"/>
      <c r="L90" s="218"/>
      <c r="M90" s="218"/>
      <c r="N90" s="218"/>
      <c r="O90" s="218"/>
      <c r="P90" s="218"/>
      <c r="Q90" s="218"/>
      <c r="R90" s="218"/>
      <c r="S90" s="218"/>
      <c r="T90" s="218"/>
      <c r="U90" s="218"/>
      <c r="V90" s="218"/>
    </row>
    <row r="91" spans="1:22">
      <c r="A91" s="215"/>
      <c r="B91" s="215"/>
      <c r="I91" s="218"/>
      <c r="J91" s="218"/>
      <c r="K91" s="218"/>
      <c r="L91" s="218"/>
      <c r="M91" s="218"/>
      <c r="N91" s="218"/>
      <c r="O91" s="218"/>
      <c r="P91" s="218"/>
      <c r="Q91" s="218"/>
      <c r="R91" s="218"/>
      <c r="S91" s="218"/>
      <c r="T91" s="218"/>
      <c r="U91" s="218"/>
      <c r="V91" s="218"/>
    </row>
    <row r="92" spans="1:22">
      <c r="A92" s="215"/>
      <c r="B92" s="215"/>
      <c r="I92" s="218"/>
      <c r="J92" s="218"/>
      <c r="K92" s="218"/>
      <c r="L92" s="218"/>
      <c r="M92" s="218"/>
      <c r="N92" s="218"/>
      <c r="O92" s="218"/>
      <c r="P92" s="218"/>
      <c r="Q92" s="218"/>
      <c r="R92" s="218"/>
      <c r="S92" s="218"/>
      <c r="T92" s="218"/>
      <c r="U92" s="218"/>
      <c r="V92" s="218"/>
    </row>
    <row r="93" spans="1:22">
      <c r="A93" s="215"/>
      <c r="B93" s="215"/>
      <c r="I93" s="218"/>
      <c r="J93" s="218"/>
      <c r="K93" s="218"/>
      <c r="L93" s="218"/>
      <c r="M93" s="218"/>
      <c r="N93" s="218"/>
      <c r="O93" s="218"/>
      <c r="P93" s="218"/>
      <c r="Q93" s="218"/>
      <c r="R93" s="218"/>
      <c r="S93" s="218"/>
      <c r="T93" s="218"/>
      <c r="U93" s="218"/>
      <c r="V93" s="218"/>
    </row>
    <row r="94" spans="1:22">
      <c r="A94" s="215"/>
      <c r="B94" s="215"/>
      <c r="I94" s="218"/>
      <c r="J94" s="218"/>
      <c r="K94" s="218"/>
      <c r="L94" s="218"/>
      <c r="M94" s="218"/>
      <c r="N94" s="218"/>
      <c r="O94" s="218"/>
      <c r="P94" s="218"/>
      <c r="Q94" s="218"/>
      <c r="R94" s="218"/>
      <c r="S94" s="218"/>
      <c r="T94" s="218"/>
      <c r="U94" s="218"/>
      <c r="V94" s="218"/>
    </row>
    <row r="95" spans="1:22">
      <c r="A95" s="215"/>
      <c r="B95" s="215"/>
      <c r="I95" s="218"/>
      <c r="J95" s="218"/>
      <c r="K95" s="218"/>
      <c r="L95" s="218"/>
      <c r="M95" s="218"/>
      <c r="N95" s="218"/>
      <c r="O95" s="218"/>
      <c r="P95" s="218"/>
      <c r="Q95" s="218"/>
      <c r="R95" s="218"/>
      <c r="S95" s="218"/>
      <c r="T95" s="218"/>
      <c r="U95" s="218"/>
      <c r="V95" s="218"/>
    </row>
    <row r="96" spans="1:22">
      <c r="A96" s="215"/>
      <c r="B96" s="215"/>
    </row>
    <row r="97" spans="1:2">
      <c r="A97" s="215"/>
      <c r="B97" s="215"/>
    </row>
    <row r="98" spans="1:2">
      <c r="A98" s="215"/>
      <c r="B98" s="215"/>
    </row>
    <row r="99" spans="1:2">
      <c r="A99" s="215"/>
      <c r="B99" s="215"/>
    </row>
    <row r="100" spans="1:2">
      <c r="A100" s="215"/>
      <c r="B100" s="215"/>
    </row>
    <row r="101" spans="1:2">
      <c r="A101" s="215"/>
      <c r="B101" s="215"/>
    </row>
    <row r="102" spans="1:2">
      <c r="A102" s="215"/>
      <c r="B102" s="215"/>
    </row>
    <row r="103" spans="1:2">
      <c r="A103" s="215"/>
      <c r="B103" s="215"/>
    </row>
    <row r="104" spans="1:2">
      <c r="A104" s="215"/>
      <c r="B104" s="215"/>
    </row>
    <row r="105" spans="1:2">
      <c r="A105" s="215"/>
      <c r="B105" s="215"/>
    </row>
    <row r="106" spans="1:2">
      <c r="A106" s="215"/>
      <c r="B106" s="215"/>
    </row>
    <row r="107" spans="1:2">
      <c r="A107" s="215"/>
      <c r="B107" s="215"/>
    </row>
    <row r="108" spans="1:2">
      <c r="A108" s="215"/>
      <c r="B108" s="215"/>
    </row>
    <row r="109" spans="1:2">
      <c r="A109" s="215"/>
      <c r="B109" s="215"/>
    </row>
    <row r="110" spans="1:2">
      <c r="A110" s="215"/>
      <c r="B110" s="215"/>
    </row>
    <row r="111" spans="1:2">
      <c r="A111" s="215"/>
      <c r="B111" s="215"/>
    </row>
    <row r="112" spans="1:2">
      <c r="A112" s="215"/>
      <c r="B112" s="215"/>
    </row>
    <row r="113" spans="1:2">
      <c r="A113" s="215"/>
      <c r="B113" s="215"/>
    </row>
    <row r="114" spans="1:2">
      <c r="A114" s="215"/>
      <c r="B114" s="215"/>
    </row>
    <row r="115" spans="1:2">
      <c r="A115" s="215"/>
      <c r="B115" s="215"/>
    </row>
    <row r="116" spans="1:2">
      <c r="A116" s="215"/>
      <c r="B116" s="215"/>
    </row>
    <row r="117" spans="1:2">
      <c r="A117" s="215"/>
      <c r="B117" s="215"/>
    </row>
    <row r="118" spans="1:2">
      <c r="A118" s="215"/>
      <c r="B118" s="215"/>
    </row>
    <row r="119" spans="1:2">
      <c r="A119" s="215"/>
      <c r="B119" s="215"/>
    </row>
    <row r="120" spans="1:2">
      <c r="A120" s="215"/>
      <c r="B120" s="215"/>
    </row>
    <row r="121" spans="1:2">
      <c r="A121" s="215"/>
      <c r="B121" s="215"/>
    </row>
    <row r="122" spans="1:2">
      <c r="A122" s="215"/>
      <c r="B122" s="215"/>
    </row>
    <row r="123" spans="1:2">
      <c r="A123" s="215"/>
      <c r="B123" s="215"/>
    </row>
    <row r="124" spans="1:2">
      <c r="A124" s="215"/>
      <c r="B124" s="215"/>
    </row>
    <row r="125" spans="1:2">
      <c r="A125" s="215"/>
      <c r="B125" s="215"/>
    </row>
    <row r="126" spans="1:2">
      <c r="A126" s="215"/>
      <c r="B126" s="215"/>
    </row>
    <row r="127" spans="1:2">
      <c r="A127" s="215"/>
      <c r="B127" s="215"/>
    </row>
    <row r="128" spans="1:2">
      <c r="A128" s="215"/>
      <c r="B128" s="215"/>
    </row>
    <row r="129" spans="1:2">
      <c r="A129" s="215"/>
      <c r="B129" s="215"/>
    </row>
    <row r="130" spans="1:2">
      <c r="A130" s="215"/>
      <c r="B130" s="215"/>
    </row>
    <row r="131" spans="1:2">
      <c r="A131" s="215"/>
      <c r="B131" s="215"/>
    </row>
    <row r="132" spans="1:2">
      <c r="A132" s="215"/>
      <c r="B132" s="215"/>
    </row>
    <row r="133" spans="1:2">
      <c r="A133" s="215"/>
      <c r="B133" s="215"/>
    </row>
    <row r="134" spans="1:2">
      <c r="A134" s="215"/>
      <c r="B134" s="215"/>
    </row>
    <row r="135" spans="1:2">
      <c r="A135" s="215"/>
      <c r="B135" s="215"/>
    </row>
    <row r="136" spans="1:2">
      <c r="A136" s="215"/>
      <c r="B136" s="215"/>
    </row>
    <row r="137" spans="1:2">
      <c r="A137" s="215"/>
      <c r="B137" s="215"/>
    </row>
    <row r="138" spans="1:2">
      <c r="A138" s="215"/>
      <c r="B138" s="215"/>
    </row>
    <row r="139" spans="1:2">
      <c r="A139" s="215"/>
      <c r="B139" s="215"/>
    </row>
    <row r="140" spans="1:2">
      <c r="A140" s="215"/>
      <c r="B140" s="215"/>
    </row>
    <row r="141" spans="1:2">
      <c r="A141" s="215"/>
      <c r="B141" s="215"/>
    </row>
    <row r="142" spans="1:2">
      <c r="A142" s="215"/>
      <c r="B142" s="215"/>
    </row>
    <row r="143" spans="1:2">
      <c r="A143" s="215"/>
      <c r="B143" s="215"/>
    </row>
    <row r="144" spans="1:2">
      <c r="A144" s="215"/>
      <c r="B144" s="215"/>
    </row>
    <row r="145" spans="1:2">
      <c r="A145" s="215"/>
      <c r="B145" s="215"/>
    </row>
    <row r="146" spans="1:2">
      <c r="A146" s="215"/>
      <c r="B146" s="215"/>
    </row>
    <row r="147" spans="1:2">
      <c r="A147" s="215"/>
      <c r="B147" s="215"/>
    </row>
    <row r="148" spans="1:2">
      <c r="A148" s="215"/>
      <c r="B148" s="215"/>
    </row>
    <row r="149" spans="1:2">
      <c r="A149" s="215"/>
      <c r="B149" s="215"/>
    </row>
    <row r="150" spans="1:2">
      <c r="A150" s="215"/>
      <c r="B150" s="215"/>
    </row>
    <row r="151" spans="1:2">
      <c r="A151" s="215"/>
      <c r="B151" s="215"/>
    </row>
    <row r="152" spans="1:2">
      <c r="A152" s="215"/>
      <c r="B152" s="215"/>
    </row>
    <row r="153" spans="1:2">
      <c r="A153" s="215"/>
      <c r="B153" s="215"/>
    </row>
    <row r="154" spans="1:2">
      <c r="A154" s="215"/>
      <c r="B154" s="215"/>
    </row>
    <row r="155" spans="1:2">
      <c r="A155" s="215"/>
      <c r="B155" s="215"/>
    </row>
    <row r="156" spans="1:2">
      <c r="A156" s="215"/>
      <c r="B156" s="215"/>
    </row>
    <row r="157" spans="1:2">
      <c r="A157" s="215"/>
      <c r="B157" s="215"/>
    </row>
    <row r="158" spans="1:2">
      <c r="A158" s="215"/>
      <c r="B158" s="215"/>
    </row>
    <row r="159" spans="1:2">
      <c r="A159" s="215"/>
      <c r="B159" s="215"/>
    </row>
    <row r="160" spans="1:2">
      <c r="A160" s="215"/>
      <c r="B160" s="215"/>
    </row>
    <row r="161" spans="1:2">
      <c r="A161" s="215"/>
      <c r="B161" s="215"/>
    </row>
    <row r="162" spans="1:2">
      <c r="A162" s="215"/>
      <c r="B162" s="215"/>
    </row>
    <row r="163" spans="1:2">
      <c r="A163" s="215"/>
      <c r="B163" s="215"/>
    </row>
    <row r="164" spans="1:2">
      <c r="A164" s="215"/>
      <c r="B164" s="215"/>
    </row>
    <row r="165" spans="1:2">
      <c r="A165" s="215"/>
      <c r="B165" s="215"/>
    </row>
    <row r="166" spans="1:2">
      <c r="A166" s="215"/>
      <c r="B166" s="215"/>
    </row>
    <row r="167" spans="1:2">
      <c r="A167" s="215"/>
      <c r="B167" s="215"/>
    </row>
    <row r="168" spans="1:2">
      <c r="A168" s="215"/>
      <c r="B168" s="215"/>
    </row>
    <row r="169" spans="1:2">
      <c r="A169" s="215"/>
      <c r="B169" s="215"/>
    </row>
    <row r="170" spans="1:2">
      <c r="A170" s="215"/>
      <c r="B170" s="215"/>
    </row>
    <row r="171" spans="1:2">
      <c r="A171" s="215"/>
      <c r="B171" s="215"/>
    </row>
    <row r="172" spans="1:2">
      <c r="A172" s="215"/>
      <c r="B172" s="215"/>
    </row>
    <row r="173" spans="1:2">
      <c r="A173" s="215"/>
      <c r="B173" s="215"/>
    </row>
    <row r="174" spans="1:2">
      <c r="A174" s="215"/>
      <c r="B174" s="215"/>
    </row>
    <row r="175" spans="1:2">
      <c r="A175" s="215"/>
      <c r="B175" s="215"/>
    </row>
    <row r="176" spans="1:2">
      <c r="A176" s="215"/>
      <c r="B176" s="215"/>
    </row>
    <row r="177" spans="1:2">
      <c r="A177" s="215"/>
      <c r="B177" s="215"/>
    </row>
    <row r="178" spans="1:2">
      <c r="A178" s="215"/>
      <c r="B178" s="215"/>
    </row>
    <row r="179" spans="1:2">
      <c r="A179" s="215"/>
      <c r="B179" s="215"/>
    </row>
    <row r="180" spans="1:2">
      <c r="A180" s="215"/>
      <c r="B180" s="215"/>
    </row>
    <row r="181" spans="1:2">
      <c r="A181" s="215"/>
      <c r="B181" s="215"/>
    </row>
    <row r="182" spans="1:2">
      <c r="A182" s="215"/>
      <c r="B182" s="215"/>
    </row>
    <row r="183" spans="1:2">
      <c r="A183" s="215"/>
      <c r="B183" s="215"/>
    </row>
    <row r="184" spans="1:2">
      <c r="A184" s="215"/>
      <c r="B184" s="215"/>
    </row>
    <row r="185" spans="1:2">
      <c r="A185" s="215"/>
      <c r="B185" s="215"/>
    </row>
    <row r="186" spans="1:2">
      <c r="A186" s="215"/>
      <c r="B186" s="215"/>
    </row>
    <row r="187" spans="1:2">
      <c r="A187" s="215"/>
      <c r="B187" s="215"/>
    </row>
    <row r="188" spans="1:2">
      <c r="A188" s="215"/>
      <c r="B188" s="215"/>
    </row>
    <row r="189" spans="1:2">
      <c r="A189" s="215"/>
      <c r="B189" s="215"/>
    </row>
    <row r="190" spans="1:2">
      <c r="A190" s="215"/>
      <c r="B190" s="215"/>
    </row>
    <row r="191" spans="1:2">
      <c r="A191" s="215"/>
      <c r="B191" s="215"/>
    </row>
    <row r="192" spans="1:2">
      <c r="A192" s="215"/>
      <c r="B192" s="215"/>
    </row>
    <row r="193" spans="1:2">
      <c r="A193" s="215"/>
      <c r="B193" s="215"/>
    </row>
    <row r="194" spans="1:2">
      <c r="A194" s="215"/>
      <c r="B194" s="215"/>
    </row>
    <row r="195" spans="1:2">
      <c r="A195" s="215"/>
      <c r="B195" s="215"/>
    </row>
    <row r="196" spans="1:2">
      <c r="A196" s="215"/>
      <c r="B196" s="215"/>
    </row>
    <row r="197" spans="1:2">
      <c r="A197" s="215"/>
      <c r="B197" s="215"/>
    </row>
    <row r="198" spans="1:2">
      <c r="A198" s="215"/>
      <c r="B198" s="215"/>
    </row>
    <row r="199" spans="1:2">
      <c r="A199" s="215"/>
      <c r="B199" s="215"/>
    </row>
    <row r="200" spans="1:2">
      <c r="A200" s="215"/>
      <c r="B200" s="215"/>
    </row>
    <row r="201" spans="1:2">
      <c r="A201" s="215"/>
      <c r="B201" s="215"/>
    </row>
    <row r="202" spans="1:2">
      <c r="A202" s="215"/>
      <c r="B202" s="215"/>
    </row>
    <row r="203" spans="1:2">
      <c r="A203" s="215"/>
      <c r="B203" s="215"/>
    </row>
    <row r="204" spans="1:2">
      <c r="A204" s="215"/>
      <c r="B204" s="215"/>
    </row>
    <row r="205" spans="1:2">
      <c r="A205" s="215"/>
      <c r="B205" s="215"/>
    </row>
    <row r="206" spans="1:2">
      <c r="A206" s="215"/>
      <c r="B206" s="215"/>
    </row>
    <row r="207" spans="1:2">
      <c r="A207" s="215"/>
      <c r="B207" s="215"/>
    </row>
    <row r="208" spans="1:2">
      <c r="A208" s="215"/>
      <c r="B208" s="215"/>
    </row>
    <row r="209" spans="1:2">
      <c r="A209" s="215"/>
      <c r="B209" s="215"/>
    </row>
    <row r="210" spans="1:2">
      <c r="A210" s="215"/>
      <c r="B210" s="215"/>
    </row>
    <row r="211" spans="1:2">
      <c r="A211" s="215"/>
      <c r="B211" s="215"/>
    </row>
    <row r="212" spans="1:2">
      <c r="A212" s="215"/>
      <c r="B212" s="215"/>
    </row>
    <row r="213" spans="1:2">
      <c r="A213" s="215"/>
      <c r="B213" s="215"/>
    </row>
    <row r="214" spans="1:2">
      <c r="A214" s="215"/>
      <c r="B214" s="215"/>
    </row>
    <row r="215" spans="1:2">
      <c r="A215" s="215"/>
      <c r="B215" s="215"/>
    </row>
    <row r="216" spans="1:2">
      <c r="A216" s="215"/>
      <c r="B216" s="215"/>
    </row>
    <row r="217" spans="1:2">
      <c r="A217" s="215"/>
      <c r="B217" s="215"/>
    </row>
    <row r="218" spans="1:2">
      <c r="A218" s="215"/>
      <c r="B218" s="215"/>
    </row>
    <row r="219" spans="1:2">
      <c r="A219" s="215"/>
      <c r="B219" s="215"/>
    </row>
    <row r="220" spans="1:2">
      <c r="A220" s="215"/>
      <c r="B220" s="215"/>
    </row>
    <row r="221" spans="1:2">
      <c r="A221" s="215"/>
      <c r="B221" s="215"/>
    </row>
    <row r="222" spans="1:2">
      <c r="A222" s="215"/>
      <c r="B222" s="215"/>
    </row>
    <row r="223" spans="1:2">
      <c r="A223" s="215"/>
      <c r="B223" s="215"/>
    </row>
    <row r="224" spans="1:2">
      <c r="A224" s="215"/>
      <c r="B224" s="215"/>
    </row>
    <row r="225" spans="1:2">
      <c r="A225" s="215"/>
      <c r="B225" s="215"/>
    </row>
    <row r="226" spans="1:2">
      <c r="A226" s="215"/>
      <c r="B226" s="215"/>
    </row>
    <row r="227" spans="1:2">
      <c r="A227" s="215"/>
      <c r="B227" s="215"/>
    </row>
    <row r="228" spans="1:2">
      <c r="A228" s="215"/>
      <c r="B228" s="215"/>
    </row>
    <row r="229" spans="1:2">
      <c r="A229" s="215"/>
      <c r="B229" s="215"/>
    </row>
    <row r="230" spans="1:2">
      <c r="A230" s="215"/>
      <c r="B230" s="215"/>
    </row>
    <row r="231" spans="1:2">
      <c r="A231" s="215"/>
      <c r="B231" s="215"/>
    </row>
    <row r="232" spans="1:2">
      <c r="A232" s="215"/>
      <c r="B232" s="215"/>
    </row>
    <row r="233" spans="1:2">
      <c r="A233" s="215"/>
      <c r="B233" s="215"/>
    </row>
    <row r="234" spans="1:2">
      <c r="A234" s="215"/>
      <c r="B234" s="215"/>
    </row>
    <row r="235" spans="1:2">
      <c r="A235" s="215"/>
      <c r="B235" s="215"/>
    </row>
    <row r="236" spans="1:2">
      <c r="A236" s="215"/>
      <c r="B236" s="215"/>
    </row>
    <row r="237" spans="1:2">
      <c r="A237" s="215"/>
      <c r="B237" s="215"/>
    </row>
    <row r="238" spans="1:2">
      <c r="A238" s="215"/>
      <c r="B238" s="215"/>
    </row>
    <row r="239" spans="1:2">
      <c r="A239" s="215"/>
      <c r="B239" s="215"/>
    </row>
    <row r="240" spans="1:2">
      <c r="A240" s="215"/>
      <c r="B240" s="215"/>
    </row>
    <row r="241" spans="1:2">
      <c r="A241" s="215"/>
      <c r="B241" s="215"/>
    </row>
    <row r="242" spans="1:2">
      <c r="A242" s="215"/>
      <c r="B242" s="215"/>
    </row>
    <row r="243" spans="1:2">
      <c r="A243" s="215"/>
      <c r="B243" s="215"/>
    </row>
    <row r="244" spans="1:2">
      <c r="A244" s="215"/>
      <c r="B244" s="215"/>
    </row>
    <row r="245" spans="1:2">
      <c r="A245" s="215"/>
      <c r="B245" s="215"/>
    </row>
    <row r="246" spans="1:2">
      <c r="A246" s="215"/>
      <c r="B246" s="215"/>
    </row>
    <row r="247" spans="1:2">
      <c r="A247" s="215"/>
      <c r="B247" s="215"/>
    </row>
    <row r="248" spans="1:2">
      <c r="A248" s="215"/>
      <c r="B248" s="215"/>
    </row>
    <row r="249" spans="1:2">
      <c r="A249" s="215"/>
      <c r="B249" s="215"/>
    </row>
    <row r="250" spans="1:2">
      <c r="A250" s="215"/>
      <c r="B250" s="215"/>
    </row>
    <row r="251" spans="1:2">
      <c r="A251" s="215"/>
      <c r="B251" s="215"/>
    </row>
    <row r="252" spans="1:2">
      <c r="A252" s="215"/>
      <c r="B252" s="215"/>
    </row>
    <row r="253" spans="1:2">
      <c r="A253" s="215"/>
      <c r="B253" s="215"/>
    </row>
    <row r="254" spans="1:2">
      <c r="A254" s="215"/>
      <c r="B254" s="215"/>
    </row>
    <row r="255" spans="1:2">
      <c r="A255" s="215"/>
      <c r="B255" s="215"/>
    </row>
    <row r="256" spans="1:2">
      <c r="A256" s="215"/>
      <c r="B256" s="215"/>
    </row>
    <row r="257" spans="1:2">
      <c r="A257" s="215"/>
      <c r="B257" s="215"/>
    </row>
    <row r="258" spans="1:2">
      <c r="A258" s="215"/>
      <c r="B258" s="215"/>
    </row>
    <row r="259" spans="1:2">
      <c r="A259" s="215"/>
      <c r="B259" s="215"/>
    </row>
    <row r="260" spans="1:2">
      <c r="A260" s="215"/>
      <c r="B260" s="215"/>
    </row>
    <row r="261" spans="1:2">
      <c r="A261" s="215"/>
      <c r="B261" s="215"/>
    </row>
    <row r="262" spans="1:2">
      <c r="A262" s="215"/>
      <c r="B262" s="215"/>
    </row>
    <row r="263" spans="1:2">
      <c r="A263" s="215"/>
      <c r="B263" s="215"/>
    </row>
    <row r="264" spans="1:2">
      <c r="A264" s="215"/>
      <c r="B264" s="215"/>
    </row>
    <row r="265" spans="1:2">
      <c r="A265" s="215"/>
      <c r="B265" s="215"/>
    </row>
    <row r="266" spans="1:2">
      <c r="A266" s="215"/>
      <c r="B266" s="215"/>
    </row>
    <row r="267" spans="1:2">
      <c r="A267" s="215"/>
      <c r="B267" s="215"/>
    </row>
    <row r="268" spans="1:2">
      <c r="A268" s="215"/>
      <c r="B268" s="215"/>
    </row>
    <row r="269" spans="1:2">
      <c r="A269" s="215"/>
      <c r="B269" s="215"/>
    </row>
    <row r="270" spans="1:2">
      <c r="A270" s="215"/>
      <c r="B270" s="215"/>
    </row>
    <row r="271" spans="1:2">
      <c r="A271" s="215"/>
      <c r="B271" s="215"/>
    </row>
    <row r="272" spans="1:2">
      <c r="A272" s="215"/>
      <c r="B272" s="215"/>
    </row>
    <row r="273" spans="1:2">
      <c r="A273" s="215"/>
      <c r="B273" s="215"/>
    </row>
    <row r="274" spans="1:2">
      <c r="A274" s="215"/>
      <c r="B274" s="215"/>
    </row>
    <row r="275" spans="1:2">
      <c r="A275" s="215"/>
      <c r="B275" s="215"/>
    </row>
    <row r="276" spans="1:2">
      <c r="A276" s="215"/>
      <c r="B276" s="215"/>
    </row>
    <row r="277" spans="1:2">
      <c r="A277" s="215"/>
      <c r="B277" s="215"/>
    </row>
    <row r="278" spans="1:2">
      <c r="A278" s="215"/>
      <c r="B278" s="215"/>
    </row>
    <row r="279" spans="1:2">
      <c r="A279" s="215"/>
      <c r="B279" s="215"/>
    </row>
    <row r="280" spans="1:2">
      <c r="A280" s="215"/>
      <c r="B280" s="215"/>
    </row>
    <row r="281" spans="1:2">
      <c r="A281" s="215"/>
      <c r="B281" s="215"/>
    </row>
    <row r="282" spans="1:2">
      <c r="A282" s="215"/>
      <c r="B282" s="215"/>
    </row>
    <row r="283" spans="1:2">
      <c r="A283" s="215"/>
      <c r="B283" s="215"/>
    </row>
    <row r="284" spans="1:2">
      <c r="A284" s="215"/>
      <c r="B284" s="215"/>
    </row>
    <row r="285" spans="1:2">
      <c r="A285" s="215"/>
      <c r="B285" s="215"/>
    </row>
    <row r="286" spans="1:2">
      <c r="A286" s="215"/>
      <c r="B286" s="215"/>
    </row>
    <row r="287" spans="1:2">
      <c r="A287" s="215"/>
      <c r="B287" s="215"/>
    </row>
    <row r="288" spans="1:2">
      <c r="A288" s="215"/>
      <c r="B288" s="215"/>
    </row>
    <row r="289" spans="1:2">
      <c r="A289" s="215"/>
      <c r="B289" s="215"/>
    </row>
    <row r="290" spans="1:2">
      <c r="A290" s="215"/>
      <c r="B290" s="215"/>
    </row>
    <row r="291" spans="1:2">
      <c r="A291" s="215"/>
      <c r="B291" s="215"/>
    </row>
    <row r="292" spans="1:2">
      <c r="A292" s="215"/>
      <c r="B292" s="215"/>
    </row>
    <row r="293" spans="1:2">
      <c r="A293" s="215"/>
      <c r="B293" s="215"/>
    </row>
    <row r="294" spans="1:2">
      <c r="A294" s="215"/>
      <c r="B294" s="215"/>
    </row>
    <row r="295" spans="1:2">
      <c r="A295" s="215"/>
      <c r="B295" s="215"/>
    </row>
    <row r="296" spans="1:2">
      <c r="A296" s="215"/>
      <c r="B296" s="215"/>
    </row>
    <row r="297" spans="1:2">
      <c r="A297" s="215"/>
      <c r="B297" s="215"/>
    </row>
    <row r="298" spans="1:2">
      <c r="A298" s="215"/>
      <c r="B298" s="215"/>
    </row>
    <row r="299" spans="1:2">
      <c r="A299" s="215"/>
      <c r="B299" s="215"/>
    </row>
    <row r="300" spans="1:2">
      <c r="A300" s="215"/>
      <c r="B300" s="215"/>
    </row>
    <row r="301" spans="1:2">
      <c r="A301" s="215"/>
      <c r="B301" s="215"/>
    </row>
    <row r="302" spans="1:2">
      <c r="A302" s="215"/>
      <c r="B302" s="215"/>
    </row>
    <row r="303" spans="1:2">
      <c r="A303" s="215"/>
      <c r="B303" s="215"/>
    </row>
    <row r="304" spans="1:2">
      <c r="A304" s="215"/>
      <c r="B304" s="215"/>
    </row>
    <row r="305" spans="1:2">
      <c r="A305" s="215"/>
      <c r="B305" s="215"/>
    </row>
    <row r="306" spans="1:2">
      <c r="A306" s="215"/>
      <c r="B306" s="215"/>
    </row>
    <row r="307" spans="1:2">
      <c r="A307" s="215"/>
      <c r="B307" s="215"/>
    </row>
    <row r="308" spans="1:2">
      <c r="A308" s="215"/>
      <c r="B308" s="215"/>
    </row>
    <row r="309" spans="1:2">
      <c r="A309" s="215"/>
      <c r="B309" s="215"/>
    </row>
    <row r="310" spans="1:2">
      <c r="A310" s="215"/>
      <c r="B310" s="215"/>
    </row>
    <row r="311" spans="1:2">
      <c r="A311" s="215"/>
      <c r="B311" s="215"/>
    </row>
    <row r="312" spans="1:2">
      <c r="A312" s="215"/>
      <c r="B312" s="215"/>
    </row>
    <row r="313" spans="1:2">
      <c r="A313" s="215"/>
      <c r="B313" s="215"/>
    </row>
    <row r="314" spans="1:2">
      <c r="A314" s="215"/>
      <c r="B314" s="215"/>
    </row>
    <row r="315" spans="1:2">
      <c r="A315" s="215"/>
      <c r="B315" s="215"/>
    </row>
    <row r="316" spans="1:2">
      <c r="A316" s="215"/>
      <c r="B316" s="215"/>
    </row>
    <row r="317" spans="1:2">
      <c r="A317" s="215"/>
      <c r="B317" s="215"/>
    </row>
    <row r="318" spans="1:2">
      <c r="A318" s="215"/>
      <c r="B318" s="215"/>
    </row>
    <row r="319" spans="1:2">
      <c r="A319" s="215"/>
      <c r="B319" s="215"/>
    </row>
    <row r="320" spans="1:2">
      <c r="A320" s="215"/>
      <c r="B320" s="215"/>
    </row>
    <row r="321" spans="1:2">
      <c r="A321" s="215"/>
      <c r="B321" s="215"/>
    </row>
    <row r="322" spans="1:2">
      <c r="A322" s="215"/>
      <c r="B322" s="215"/>
    </row>
    <row r="323" spans="1:2">
      <c r="A323" s="215"/>
      <c r="B323" s="215"/>
    </row>
    <row r="324" spans="1:2">
      <c r="A324" s="215"/>
      <c r="B324" s="215"/>
    </row>
    <row r="325" spans="1:2">
      <c r="A325" s="215"/>
      <c r="B325" s="215"/>
    </row>
    <row r="326" spans="1:2">
      <c r="A326" s="215"/>
      <c r="B326" s="215"/>
    </row>
    <row r="327" spans="1:2">
      <c r="A327" s="215"/>
      <c r="B327" s="215"/>
    </row>
    <row r="328" spans="1:2">
      <c r="A328" s="215"/>
      <c r="B328" s="215"/>
    </row>
    <row r="329" spans="1:2">
      <c r="A329" s="215"/>
      <c r="B329" s="215"/>
    </row>
    <row r="330" spans="1:2">
      <c r="A330" s="215"/>
      <c r="B330" s="215"/>
    </row>
    <row r="331" spans="1:2">
      <c r="A331" s="215"/>
      <c r="B331" s="215"/>
    </row>
    <row r="332" spans="1:2">
      <c r="A332" s="215"/>
      <c r="B332" s="215"/>
    </row>
    <row r="333" spans="1:2">
      <c r="A333" s="215"/>
      <c r="B333" s="215"/>
    </row>
    <row r="334" spans="1:2">
      <c r="A334" s="215"/>
      <c r="B334" s="215"/>
    </row>
    <row r="335" spans="1:2">
      <c r="A335" s="215"/>
      <c r="B335" s="215"/>
    </row>
    <row r="336" spans="1:2">
      <c r="A336" s="215"/>
      <c r="B336" s="215"/>
    </row>
    <row r="337" spans="1:2">
      <c r="A337" s="215"/>
      <c r="B337" s="215"/>
    </row>
    <row r="338" spans="1:2">
      <c r="A338" s="215"/>
      <c r="B338" s="215"/>
    </row>
    <row r="339" spans="1:2">
      <c r="A339" s="215"/>
      <c r="B339" s="215"/>
    </row>
    <row r="340" spans="1:2">
      <c r="A340" s="215"/>
      <c r="B340" s="215"/>
    </row>
    <row r="341" spans="1:2">
      <c r="A341" s="215"/>
      <c r="B341" s="215"/>
    </row>
    <row r="342" spans="1:2">
      <c r="A342" s="215"/>
      <c r="B342" s="215"/>
    </row>
    <row r="343" spans="1:2">
      <c r="A343" s="215"/>
      <c r="B343" s="215"/>
    </row>
    <row r="344" spans="1:2">
      <c r="A344" s="215"/>
      <c r="B344" s="215"/>
    </row>
    <row r="345" spans="1:2">
      <c r="A345" s="215"/>
      <c r="B345" s="215"/>
    </row>
    <row r="346" spans="1:2">
      <c r="A346" s="215"/>
      <c r="B346" s="215"/>
    </row>
    <row r="347" spans="1:2">
      <c r="A347" s="215"/>
      <c r="B347" s="215"/>
    </row>
    <row r="348" spans="1:2">
      <c r="A348" s="215"/>
      <c r="B348" s="215"/>
    </row>
    <row r="349" spans="1:2">
      <c r="A349" s="215"/>
      <c r="B349" s="215"/>
    </row>
    <row r="350" spans="1:2">
      <c r="A350" s="215"/>
      <c r="B350" s="215"/>
    </row>
    <row r="351" spans="1:2">
      <c r="A351" s="215"/>
      <c r="B351" s="215"/>
    </row>
    <row r="352" spans="1:2">
      <c r="A352" s="215"/>
      <c r="B352" s="215"/>
    </row>
    <row r="353" spans="1:2">
      <c r="A353" s="215"/>
      <c r="B353" s="215"/>
    </row>
    <row r="354" spans="1:2">
      <c r="A354" s="215"/>
      <c r="B354" s="215"/>
    </row>
    <row r="355" spans="1:2">
      <c r="A355" s="215"/>
      <c r="B355" s="215"/>
    </row>
    <row r="356" spans="1:2">
      <c r="A356" s="215"/>
      <c r="B356" s="215"/>
    </row>
    <row r="357" spans="1:2">
      <c r="A357" s="215"/>
      <c r="B357" s="215"/>
    </row>
    <row r="358" spans="1:2">
      <c r="A358" s="215"/>
      <c r="B358" s="215"/>
    </row>
    <row r="359" spans="1:2">
      <c r="A359" s="215"/>
      <c r="B359" s="215"/>
    </row>
    <row r="360" spans="1:2">
      <c r="A360" s="215"/>
      <c r="B360" s="215"/>
    </row>
    <row r="361" spans="1:2">
      <c r="A361" s="215"/>
      <c r="B361" s="215"/>
    </row>
    <row r="362" spans="1:2">
      <c r="A362" s="215"/>
      <c r="B362" s="215"/>
    </row>
    <row r="363" spans="1:2">
      <c r="A363" s="215"/>
      <c r="B363" s="215"/>
    </row>
    <row r="364" spans="1:2">
      <c r="A364" s="215"/>
      <c r="B364" s="215"/>
    </row>
    <row r="365" spans="1:2">
      <c r="A365" s="215"/>
      <c r="B365" s="215"/>
    </row>
    <row r="366" spans="1:2">
      <c r="A366" s="215"/>
      <c r="B366" s="215"/>
    </row>
    <row r="367" spans="1:2">
      <c r="A367" s="215"/>
      <c r="B367" s="215"/>
    </row>
    <row r="368" spans="1:2">
      <c r="A368" s="215"/>
      <c r="B368" s="215"/>
    </row>
    <row r="369" spans="1:2">
      <c r="A369" s="215"/>
      <c r="B369" s="215"/>
    </row>
    <row r="370" spans="1:2">
      <c r="A370" s="215"/>
      <c r="B370" s="215"/>
    </row>
    <row r="371" spans="1:2">
      <c r="A371" s="215"/>
      <c r="B371" s="215"/>
    </row>
    <row r="372" spans="1:2">
      <c r="A372" s="215"/>
      <c r="B372" s="215"/>
    </row>
    <row r="373" spans="1:2">
      <c r="A373" s="215"/>
      <c r="B373" s="215"/>
    </row>
    <row r="374" spans="1:2">
      <c r="A374" s="215"/>
      <c r="B374" s="215"/>
    </row>
    <row r="375" spans="1:2">
      <c r="A375" s="215"/>
      <c r="B375" s="215"/>
    </row>
    <row r="376" spans="1:2">
      <c r="A376" s="215"/>
      <c r="B376" s="215"/>
    </row>
    <row r="377" spans="1:2">
      <c r="A377" s="215"/>
      <c r="B377" s="215"/>
    </row>
    <row r="378" spans="1:2">
      <c r="A378" s="215"/>
      <c r="B378" s="215"/>
    </row>
    <row r="379" spans="1:2">
      <c r="A379" s="215"/>
      <c r="B379" s="215"/>
    </row>
    <row r="380" spans="1:2">
      <c r="A380" s="215"/>
      <c r="B380" s="215"/>
    </row>
    <row r="381" spans="1:2">
      <c r="A381" s="215"/>
      <c r="B381" s="215"/>
    </row>
    <row r="382" spans="1:2">
      <c r="A382" s="215"/>
      <c r="B382" s="215"/>
    </row>
    <row r="383" spans="1:2">
      <c r="A383" s="215"/>
      <c r="B383" s="215"/>
    </row>
    <row r="384" spans="1:2">
      <c r="A384" s="215"/>
      <c r="B384" s="215"/>
    </row>
    <row r="385" spans="1:2">
      <c r="A385" s="215"/>
      <c r="B385" s="215"/>
    </row>
    <row r="386" spans="1:2">
      <c r="A386" s="215"/>
      <c r="B386" s="215"/>
    </row>
    <row r="387" spans="1:2">
      <c r="A387" s="215"/>
      <c r="B387" s="215"/>
    </row>
    <row r="388" spans="1:2">
      <c r="A388" s="215"/>
      <c r="B388" s="215"/>
    </row>
    <row r="389" spans="1:2">
      <c r="A389" s="215"/>
      <c r="B389" s="215"/>
    </row>
    <row r="390" spans="1:2">
      <c r="A390" s="215"/>
      <c r="B390" s="215"/>
    </row>
    <row r="391" spans="1:2">
      <c r="A391" s="215"/>
      <c r="B391" s="215"/>
    </row>
    <row r="392" spans="1:2">
      <c r="A392" s="215"/>
      <c r="B392" s="215"/>
    </row>
    <row r="393" spans="1:2">
      <c r="A393" s="215"/>
      <c r="B393" s="215"/>
    </row>
    <row r="394" spans="1:2">
      <c r="A394" s="215"/>
      <c r="B394" s="215"/>
    </row>
    <row r="395" spans="1:2">
      <c r="A395" s="215"/>
      <c r="B395" s="215"/>
    </row>
    <row r="396" spans="1:2">
      <c r="A396" s="215"/>
      <c r="B396" s="215"/>
    </row>
    <row r="397" spans="1:2">
      <c r="A397" s="215"/>
      <c r="B397" s="215"/>
    </row>
    <row r="398" spans="1:2">
      <c r="A398" s="215"/>
      <c r="B398" s="215"/>
    </row>
    <row r="399" spans="1:2">
      <c r="A399" s="215"/>
      <c r="B399" s="215"/>
    </row>
    <row r="400" spans="1:2">
      <c r="A400" s="215"/>
      <c r="B400" s="215"/>
    </row>
    <row r="401" spans="1:2">
      <c r="A401" s="215"/>
      <c r="B401" s="215"/>
    </row>
    <row r="402" spans="1:2">
      <c r="A402" s="215"/>
      <c r="B402" s="215"/>
    </row>
    <row r="403" spans="1:2">
      <c r="A403" s="215"/>
      <c r="B403" s="215"/>
    </row>
    <row r="404" spans="1:2">
      <c r="A404" s="215"/>
      <c r="B404" s="215"/>
    </row>
    <row r="405" spans="1:2">
      <c r="A405" s="215"/>
      <c r="B405" s="215"/>
    </row>
    <row r="406" spans="1:2">
      <c r="A406" s="215"/>
      <c r="B406" s="215"/>
    </row>
    <row r="407" spans="1:2">
      <c r="A407" s="215"/>
      <c r="B407" s="215"/>
    </row>
    <row r="408" spans="1:2">
      <c r="A408" s="215"/>
      <c r="B408" s="215"/>
    </row>
    <row r="409" spans="1:2">
      <c r="A409" s="215"/>
      <c r="B409" s="215"/>
    </row>
    <row r="410" spans="1:2">
      <c r="A410" s="215"/>
      <c r="B410" s="215"/>
    </row>
    <row r="411" spans="1:2">
      <c r="A411" s="215"/>
      <c r="B411" s="215"/>
    </row>
    <row r="412" spans="1:2">
      <c r="A412" s="215"/>
      <c r="B412" s="215"/>
    </row>
    <row r="413" spans="1:2">
      <c r="A413" s="215"/>
      <c r="B413" s="215"/>
    </row>
    <row r="414" spans="1:2">
      <c r="A414" s="215"/>
      <c r="B414" s="215"/>
    </row>
    <row r="415" spans="1:2">
      <c r="A415" s="215"/>
      <c r="B415" s="215"/>
    </row>
    <row r="416" spans="1:2">
      <c r="A416" s="215"/>
      <c r="B416" s="215"/>
    </row>
    <row r="417" spans="1:2">
      <c r="A417" s="215"/>
      <c r="B417" s="215"/>
    </row>
    <row r="418" spans="1:2">
      <c r="A418" s="215"/>
      <c r="B418" s="215"/>
    </row>
    <row r="419" spans="1:2">
      <c r="A419" s="215"/>
      <c r="B419" s="215"/>
    </row>
    <row r="420" spans="1:2">
      <c r="A420" s="215"/>
      <c r="B420" s="215"/>
    </row>
    <row r="421" spans="1:2">
      <c r="A421" s="215"/>
      <c r="B421" s="215"/>
    </row>
    <row r="422" spans="1:2">
      <c r="A422" s="215"/>
      <c r="B422" s="215"/>
    </row>
    <row r="423" spans="1:2">
      <c r="A423" s="215"/>
      <c r="B423" s="215"/>
    </row>
    <row r="424" spans="1:2">
      <c r="A424" s="215"/>
      <c r="B424" s="215"/>
    </row>
    <row r="425" spans="1:2">
      <c r="A425" s="215"/>
      <c r="B425" s="215"/>
    </row>
    <row r="426" spans="1:2">
      <c r="A426" s="215"/>
      <c r="B426" s="215"/>
    </row>
    <row r="427" spans="1:2">
      <c r="A427" s="215"/>
      <c r="B427" s="215"/>
    </row>
    <row r="428" spans="1:2">
      <c r="A428" s="215"/>
      <c r="B428" s="215"/>
    </row>
    <row r="429" spans="1:2">
      <c r="A429" s="215"/>
      <c r="B429" s="215"/>
    </row>
    <row r="430" spans="1:2">
      <c r="A430" s="215"/>
      <c r="B430" s="215"/>
    </row>
    <row r="431" spans="1:2">
      <c r="A431" s="215"/>
      <c r="B431" s="215"/>
    </row>
    <row r="432" spans="1:2">
      <c r="A432" s="215"/>
      <c r="B432" s="215"/>
    </row>
    <row r="433" spans="1:2">
      <c r="A433" s="215"/>
      <c r="B433" s="215"/>
    </row>
    <row r="434" spans="1:2">
      <c r="A434" s="215"/>
      <c r="B434" s="215"/>
    </row>
    <row r="435" spans="1:2">
      <c r="A435" s="215"/>
      <c r="B435" s="215"/>
    </row>
    <row r="436" spans="1:2">
      <c r="A436" s="215"/>
      <c r="B436" s="215"/>
    </row>
    <row r="437" spans="1:2">
      <c r="A437" s="215"/>
      <c r="B437" s="215"/>
    </row>
    <row r="438" spans="1:2">
      <c r="A438" s="215"/>
      <c r="B438" s="215"/>
    </row>
    <row r="439" spans="1:2">
      <c r="A439" s="215"/>
      <c r="B439" s="215"/>
    </row>
    <row r="440" spans="1:2">
      <c r="A440" s="215"/>
      <c r="B440" s="215"/>
    </row>
    <row r="441" spans="1:2">
      <c r="A441" s="215"/>
      <c r="B441" s="215"/>
    </row>
    <row r="442" spans="1:2">
      <c r="A442" s="215"/>
      <c r="B442" s="215"/>
    </row>
    <row r="443" spans="1:2">
      <c r="A443" s="215"/>
      <c r="B443" s="215"/>
    </row>
    <row r="444" spans="1:2">
      <c r="A444" s="215"/>
      <c r="B444" s="215"/>
    </row>
    <row r="445" spans="1:2">
      <c r="A445" s="215"/>
      <c r="B445" s="215"/>
    </row>
    <row r="446" spans="1:2">
      <c r="A446" s="215"/>
      <c r="B446" s="215"/>
    </row>
    <row r="447" spans="1:2">
      <c r="A447" s="215"/>
      <c r="B447" s="215"/>
    </row>
    <row r="448" spans="1:2">
      <c r="A448" s="215"/>
      <c r="B448" s="215"/>
    </row>
    <row r="449" spans="1:2">
      <c r="A449" s="215"/>
      <c r="B449" s="215"/>
    </row>
    <row r="450" spans="1:2">
      <c r="A450" s="215"/>
      <c r="B450" s="215"/>
    </row>
    <row r="451" spans="1:2">
      <c r="A451" s="215"/>
      <c r="B451" s="215"/>
    </row>
    <row r="452" spans="1:2">
      <c r="A452" s="215"/>
      <c r="B452" s="215"/>
    </row>
    <row r="453" spans="1:2">
      <c r="A453" s="215"/>
      <c r="B453" s="215"/>
    </row>
    <row r="454" spans="1:2">
      <c r="A454" s="215"/>
      <c r="B454" s="215"/>
    </row>
    <row r="455" spans="1:2">
      <c r="A455" s="215"/>
      <c r="B455" s="215"/>
    </row>
    <row r="456" spans="1:2">
      <c r="A456" s="215"/>
      <c r="B456" s="215"/>
    </row>
    <row r="457" spans="1:2">
      <c r="A457" s="215"/>
      <c r="B457" s="215"/>
    </row>
    <row r="458" spans="1:2">
      <c r="A458" s="215"/>
      <c r="B458" s="215"/>
    </row>
    <row r="459" spans="1:2">
      <c r="A459" s="215"/>
      <c r="B459" s="215"/>
    </row>
    <row r="460" spans="1:2">
      <c r="A460" s="215"/>
      <c r="B460" s="215"/>
    </row>
    <row r="461" spans="1:2">
      <c r="A461" s="215"/>
      <c r="B461" s="215"/>
    </row>
    <row r="462" spans="1:2">
      <c r="A462" s="215"/>
      <c r="B462" s="215"/>
    </row>
    <row r="463" spans="1:2">
      <c r="A463" s="215"/>
      <c r="B463" s="215"/>
    </row>
    <row r="464" spans="1:2">
      <c r="A464" s="215"/>
      <c r="B464" s="215"/>
    </row>
  </sheetData>
  <sheetProtection password="DEB3" sheet="1" objects="1" scenarios="1"/>
  <mergeCells count="27">
    <mergeCell ref="F13:G13"/>
    <mergeCell ref="F2:G2"/>
    <mergeCell ref="F3:G3"/>
    <mergeCell ref="F4:G4"/>
    <mergeCell ref="F5:G5"/>
    <mergeCell ref="F6:G6"/>
    <mergeCell ref="F7:G7"/>
    <mergeCell ref="F8:G8"/>
    <mergeCell ref="F9:G9"/>
    <mergeCell ref="F10:G10"/>
    <mergeCell ref="F11:G11"/>
    <mergeCell ref="F12:G12"/>
    <mergeCell ref="B27:G27"/>
    <mergeCell ref="B28:G28"/>
    <mergeCell ref="F14:G14"/>
    <mergeCell ref="F15:G15"/>
    <mergeCell ref="F16:G16"/>
    <mergeCell ref="F17:G17"/>
    <mergeCell ref="F20:G20"/>
    <mergeCell ref="F18:G18"/>
    <mergeCell ref="F19:G19"/>
    <mergeCell ref="A21:H21"/>
    <mergeCell ref="B22:G22"/>
    <mergeCell ref="C23:G23"/>
    <mergeCell ref="C24:G24"/>
    <mergeCell ref="B25:G25"/>
    <mergeCell ref="B26:G26"/>
  </mergeCells>
  <dataValidations count="3">
    <dataValidation type="list" allowBlank="1" showInputMessage="1" showErrorMessage="1" promptTitle="237 ES.Calcul Aide" prompt="Choisir la monnaie des prix unitaires. Si cette monnaie n'est pas le FCFA, prennez la peine d'entré la valeur du taux de change permettant de passer de la monnaie choisie au FCFA dans les la cellule F1." sqref="E1">
      <formula1>"FCFA,$,€"</formula1>
    </dataValidation>
    <dataValidation allowBlank="1" showInputMessage="1" showErrorMessage="1" promptTitle="237 ES.Calcul Aide" prompt="Entrer combien coûte le FCFA dans la monnaie choisie. Exemple pour le dolar entrez 500 si 1 $ = 500 FCFA. Si aucun valeur n'est entré, la valeur 1 apparait par défaut indiquant que le vous travaillez en FCFA." sqref="G1"/>
    <dataValidation type="list" allowBlank="1" showInputMessage="1" showErrorMessage="1" sqref="B2:B20">
      <formula1>"U,Ens,FF,mètre,Tonne,kg"</formula1>
    </dataValidation>
  </dataValidations>
  <printOptions horizontalCentered="1" verticalCentered="1"/>
  <pageMargins left="0.70866141732283472" right="0.70866141732283472" top="0.74803149606299213" bottom="0.74803149606299213" header="0.31496062992125984" footer="0.31496062992125984"/>
  <pageSetup paperSize="9" scale="75" orientation="landscape" r:id="rId1"/>
  <drawing r:id="rId2"/>
</worksheet>
</file>

<file path=xl/worksheets/sheet10.xml><?xml version="1.0" encoding="utf-8"?>
<worksheet xmlns="http://schemas.openxmlformats.org/spreadsheetml/2006/main" xmlns:r="http://schemas.openxmlformats.org/officeDocument/2006/relationships">
  <sheetPr codeName="Feuil9">
    <tabColor rgb="FF92D050"/>
  </sheetPr>
  <dimension ref="A1:Q1"/>
  <sheetViews>
    <sheetView workbookViewId="0">
      <pane ySplit="1" topLeftCell="A2" activePane="bottomLeft" state="frozen"/>
      <selection activeCell="P16" sqref="P16"/>
      <selection pane="bottomLeft"/>
    </sheetView>
  </sheetViews>
  <sheetFormatPr baseColWidth="10" defaultColWidth="11.42578125" defaultRowHeight="15"/>
  <cols>
    <col min="1" max="16384" width="11.42578125" style="30"/>
  </cols>
  <sheetData>
    <row r="1" spans="1:17" ht="52.5" customHeight="1">
      <c r="A1" s="213"/>
      <c r="B1" s="447"/>
      <c r="C1" s="447"/>
      <c r="D1" s="447"/>
      <c r="E1" s="447"/>
      <c r="F1" s="447"/>
      <c r="G1" s="447"/>
      <c r="H1" s="447"/>
      <c r="I1" s="447"/>
      <c r="J1" s="447"/>
      <c r="K1" s="447"/>
      <c r="L1" s="447"/>
      <c r="M1" s="447"/>
      <c r="N1" s="447"/>
      <c r="O1" s="447"/>
      <c r="P1" s="447"/>
      <c r="Q1" s="447"/>
    </row>
  </sheetData>
  <sheetProtection password="DEB3" sheet="1" objects="1" scenarios="1"/>
  <mergeCells count="1">
    <mergeCell ref="B1:Q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dimension ref="A1"/>
  <sheetViews>
    <sheetView workbookViewId="0">
      <selection activeCell="L10" sqref="L10"/>
    </sheetView>
  </sheetViews>
  <sheetFormatPr baseColWidth="10" defaultColWidth="11.42578125" defaultRowHeight="15"/>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F16"/>
  <sheetViews>
    <sheetView workbookViewId="0">
      <selection activeCell="F2" sqref="F2:F13"/>
    </sheetView>
  </sheetViews>
  <sheetFormatPr baseColWidth="10" defaultColWidth="11.42578125" defaultRowHeight="15"/>
  <sheetData>
    <row r="1" spans="1:6" ht="18">
      <c r="A1" s="288" t="s">
        <v>65</v>
      </c>
      <c r="B1" s="289" t="s">
        <v>356</v>
      </c>
      <c r="C1" s="289" t="s">
        <v>357</v>
      </c>
      <c r="D1" s="289" t="s">
        <v>358</v>
      </c>
      <c r="E1" s="289" t="s">
        <v>359</v>
      </c>
    </row>
    <row r="2" spans="1:6">
      <c r="A2" s="290" t="s">
        <v>66</v>
      </c>
      <c r="B2" s="291" t="s">
        <v>360</v>
      </c>
      <c r="C2" s="291">
        <v>138</v>
      </c>
      <c r="D2" s="291">
        <v>6.18</v>
      </c>
      <c r="E2" s="291">
        <v>192</v>
      </c>
      <c r="F2">
        <f>D2*1000</f>
        <v>6180</v>
      </c>
    </row>
    <row r="3" spans="1:6">
      <c r="A3" s="290" t="s">
        <v>67</v>
      </c>
      <c r="B3" s="291" t="s">
        <v>361</v>
      </c>
      <c r="C3" s="291">
        <v>117</v>
      </c>
      <c r="D3" s="291">
        <v>5.82</v>
      </c>
      <c r="E3" s="291">
        <v>163</v>
      </c>
      <c r="F3">
        <f t="shared" ref="F3:F13" si="0">D3*1000</f>
        <v>5820</v>
      </c>
    </row>
    <row r="4" spans="1:6">
      <c r="A4" s="290" t="s">
        <v>68</v>
      </c>
      <c r="B4" s="291" t="s">
        <v>362</v>
      </c>
      <c r="C4" s="291">
        <v>133</v>
      </c>
      <c r="D4" s="291">
        <v>6.01</v>
      </c>
      <c r="E4" s="291">
        <v>186</v>
      </c>
      <c r="F4">
        <f t="shared" si="0"/>
        <v>6010</v>
      </c>
    </row>
    <row r="5" spans="1:6">
      <c r="A5" s="290" t="s">
        <v>69</v>
      </c>
      <c r="B5" s="291" t="s">
        <v>363</v>
      </c>
      <c r="C5" s="291">
        <v>113</v>
      </c>
      <c r="D5" s="291">
        <v>5.25</v>
      </c>
      <c r="E5" s="291">
        <v>158</v>
      </c>
      <c r="F5">
        <f t="shared" si="0"/>
        <v>5250</v>
      </c>
    </row>
    <row r="6" spans="1:6">
      <c r="A6" s="290" t="s">
        <v>70</v>
      </c>
      <c r="B6" s="291" t="s">
        <v>364</v>
      </c>
      <c r="C6" s="291">
        <v>112</v>
      </c>
      <c r="D6" s="291">
        <v>4.99</v>
      </c>
      <c r="E6" s="291">
        <v>155</v>
      </c>
      <c r="F6">
        <f t="shared" si="0"/>
        <v>4990</v>
      </c>
    </row>
    <row r="7" spans="1:6">
      <c r="A7" s="290" t="s">
        <v>71</v>
      </c>
      <c r="B7" s="291" t="s">
        <v>365</v>
      </c>
      <c r="C7" s="291" t="s">
        <v>366</v>
      </c>
      <c r="D7" s="291">
        <v>4.3099999999999996</v>
      </c>
      <c r="E7" s="291">
        <v>129</v>
      </c>
      <c r="F7">
        <f t="shared" si="0"/>
        <v>4310</v>
      </c>
    </row>
    <row r="8" spans="1:6">
      <c r="A8" s="290" t="s">
        <v>72</v>
      </c>
      <c r="B8" s="291" t="s">
        <v>367</v>
      </c>
      <c r="C8" s="291" t="s">
        <v>368</v>
      </c>
      <c r="D8" s="291">
        <v>3.89</v>
      </c>
      <c r="E8" s="291">
        <v>121</v>
      </c>
      <c r="F8">
        <f t="shared" si="0"/>
        <v>3890</v>
      </c>
    </row>
    <row r="9" spans="1:6">
      <c r="A9" s="290" t="s">
        <v>73</v>
      </c>
      <c r="B9" s="291" t="s">
        <v>369</v>
      </c>
      <c r="C9" s="291" t="s">
        <v>370</v>
      </c>
      <c r="D9" s="291">
        <v>3.95</v>
      </c>
      <c r="E9" s="291">
        <v>122</v>
      </c>
      <c r="F9">
        <f t="shared" si="0"/>
        <v>3950</v>
      </c>
    </row>
    <row r="10" spans="1:6">
      <c r="A10" s="290" t="s">
        <v>74</v>
      </c>
      <c r="B10" s="291" t="s">
        <v>371</v>
      </c>
      <c r="C10" s="291">
        <v>103</v>
      </c>
      <c r="D10" s="291">
        <v>4.72</v>
      </c>
      <c r="E10" s="291">
        <v>142</v>
      </c>
      <c r="F10">
        <f t="shared" si="0"/>
        <v>4720</v>
      </c>
    </row>
    <row r="11" spans="1:6">
      <c r="A11" s="290" t="s">
        <v>75</v>
      </c>
      <c r="B11" s="291" t="s">
        <v>372</v>
      </c>
      <c r="C11" s="291">
        <v>105</v>
      </c>
      <c r="D11" s="291">
        <v>4.67</v>
      </c>
      <c r="E11" s="291">
        <v>145</v>
      </c>
      <c r="F11">
        <f t="shared" si="0"/>
        <v>4670</v>
      </c>
    </row>
    <row r="12" spans="1:6">
      <c r="A12" s="290" t="s">
        <v>76</v>
      </c>
      <c r="B12" s="291" t="s">
        <v>373</v>
      </c>
      <c r="C12" s="291">
        <v>108</v>
      </c>
      <c r="D12" s="291">
        <v>5</v>
      </c>
      <c r="E12" s="291">
        <v>150</v>
      </c>
      <c r="F12">
        <f t="shared" si="0"/>
        <v>5000</v>
      </c>
    </row>
    <row r="13" spans="1:6">
      <c r="A13" s="290" t="s">
        <v>77</v>
      </c>
      <c r="B13" s="291" t="s">
        <v>374</v>
      </c>
      <c r="C13" s="291">
        <v>132</v>
      </c>
      <c r="D13" s="291">
        <v>5.92</v>
      </c>
      <c r="E13" s="291">
        <v>183</v>
      </c>
      <c r="F13">
        <f t="shared" si="0"/>
        <v>5920</v>
      </c>
    </row>
    <row r="14" spans="1:6">
      <c r="A14" s="448"/>
      <c r="B14" s="449"/>
      <c r="C14" s="449"/>
      <c r="D14" s="449"/>
      <c r="E14" s="450"/>
    </row>
    <row r="15" spans="1:6" ht="30">
      <c r="A15" s="292" t="s">
        <v>375</v>
      </c>
      <c r="B15" s="293" t="s">
        <v>376</v>
      </c>
      <c r="C15" s="293">
        <v>111</v>
      </c>
      <c r="D15" s="293" t="s">
        <v>377</v>
      </c>
      <c r="E15" s="293">
        <v>154</v>
      </c>
    </row>
    <row r="16" spans="1:6" ht="30">
      <c r="A16" s="292" t="s">
        <v>378</v>
      </c>
      <c r="B16" s="451">
        <v>1330</v>
      </c>
      <c r="C16" s="452"/>
      <c r="D16" s="451">
        <v>1</v>
      </c>
      <c r="E16" s="452"/>
    </row>
  </sheetData>
  <mergeCells count="3">
    <mergeCell ref="A14:E14"/>
    <mergeCell ref="B16:C16"/>
    <mergeCell ref="D16:E16"/>
  </mergeCells>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A1"/>
  <sheetViews>
    <sheetView workbookViewId="0"/>
  </sheetViews>
  <sheetFormatPr baseColWidth="10" defaultColWidth="11.42578125"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dimension ref="A1"/>
  <sheetViews>
    <sheetView topLeftCell="E1" workbookViewId="0"/>
  </sheetViews>
  <sheetFormatPr baseColWidth="10" defaultColWidth="11.425781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2</vt:i4>
      </vt:variant>
    </vt:vector>
  </HeadingPairs>
  <TitlesOfParts>
    <vt:vector size="16" baseType="lpstr">
      <vt:lpstr>237 ES.Calcul</vt:lpstr>
      <vt:lpstr>Besoin électrique</vt:lpstr>
      <vt:lpstr>Economie d'énergie</vt:lpstr>
      <vt:lpstr>Données du site</vt:lpstr>
      <vt:lpstr>Données d'irradiation</vt:lpstr>
      <vt:lpstr>Système PV</vt:lpstr>
      <vt:lpstr>Câblage et protection</vt:lpstr>
      <vt:lpstr>Rapport</vt:lpstr>
      <vt:lpstr>Estimation financière</vt:lpstr>
      <vt:lpstr>Aide</vt:lpstr>
      <vt:lpstr>Feuil4</vt:lpstr>
      <vt:lpstr>Feuil1</vt:lpstr>
      <vt:lpstr>Feuil3</vt:lpstr>
      <vt:lpstr>Feuil2</vt:lpstr>
      <vt:lpstr>'Estimation financière'!Zone_d_impression</vt:lpstr>
      <vt:lpstr>Rapport!Zone_d_impression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Raissa</dc:creator>
  <cp:lastModifiedBy>X201</cp:lastModifiedBy>
  <cp:lastPrinted>2017-07-11T15:16:46Z</cp:lastPrinted>
  <dcterms:created xsi:type="dcterms:W3CDTF">2016-11-15T13:52:02Z</dcterms:created>
  <dcterms:modified xsi:type="dcterms:W3CDTF">2020-05-02T13:17:07Z</dcterms:modified>
</cp:coreProperties>
</file>